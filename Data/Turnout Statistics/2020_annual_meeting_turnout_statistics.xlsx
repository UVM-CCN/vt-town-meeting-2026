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Z:\Sites\business-division-elections\documentLibrary\Town Meeting Information &amp; Survey\2020 Town Meeting Turnout\"/>
    </mc:Choice>
  </mc:AlternateContent>
  <xr:revisionPtr revIDLastSave="0" documentId="13_ncr:1_{0BE947A9-9F07-45F8-BA18-CBF0CDD63047}" xr6:coauthVersionLast="44" xr6:coauthVersionMax="44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49" i="3" l="1"/>
  <c r="C149" i="3"/>
  <c r="D202" i="1"/>
  <c r="F163" i="1"/>
  <c r="D133" i="1"/>
  <c r="D113" i="1"/>
  <c r="D110" i="1"/>
  <c r="F95" i="1"/>
  <c r="F65" i="1"/>
  <c r="F66" i="1"/>
  <c r="F67" i="1"/>
  <c r="E207" i="1" l="1"/>
  <c r="G207" i="1"/>
  <c r="H129" i="1"/>
  <c r="F129" i="1"/>
  <c r="F131" i="1"/>
  <c r="D121" i="1"/>
  <c r="D116" i="1"/>
  <c r="D73" i="1"/>
  <c r="F22" i="1"/>
  <c r="F9" i="1"/>
  <c r="F11" i="1"/>
  <c r="F12" i="1"/>
  <c r="H203" i="1"/>
  <c r="H196" i="1"/>
  <c r="D193" i="1"/>
  <c r="D190" i="1"/>
  <c r="F185" i="1"/>
  <c r="H185" i="1"/>
  <c r="D183" i="1"/>
  <c r="D182" i="1"/>
  <c r="F181" i="1"/>
  <c r="H181" i="1"/>
  <c r="F178" i="1"/>
  <c r="H178" i="1"/>
  <c r="H26" i="1"/>
  <c r="H55" i="1"/>
  <c r="F26" i="1"/>
  <c r="F55" i="1"/>
  <c r="D119" i="1"/>
  <c r="D154" i="1"/>
  <c r="D151" i="1"/>
  <c r="D139" i="1"/>
  <c r="D140" i="1"/>
  <c r="H131" i="1"/>
  <c r="D130" i="1"/>
  <c r="F125" i="1"/>
  <c r="H120" i="1"/>
  <c r="H95" i="1"/>
  <c r="H88" i="1"/>
  <c r="H67" i="1"/>
  <c r="F58" i="1"/>
  <c r="F59" i="1"/>
  <c r="F37" i="1"/>
  <c r="F48" i="1"/>
  <c r="H48" i="1"/>
  <c r="H19" i="1"/>
  <c r="D24" i="1"/>
  <c r="H37" i="1"/>
  <c r="H38" i="1"/>
  <c r="C206" i="1"/>
  <c r="D30" i="1"/>
  <c r="D31" i="1"/>
  <c r="H22" i="1"/>
  <c r="D16" i="1"/>
  <c r="F28" i="1"/>
  <c r="D8" i="1"/>
  <c r="D4" i="1"/>
  <c r="D6" i="1"/>
  <c r="H9" i="1"/>
  <c r="H11" i="1"/>
  <c r="H12" i="1"/>
  <c r="D27" i="1"/>
  <c r="D41" i="1"/>
  <c r="D42" i="1"/>
  <c r="D56" i="1"/>
  <c r="D57" i="1"/>
  <c r="H59" i="1"/>
  <c r="H65" i="1"/>
  <c r="H66" i="1"/>
  <c r="D82" i="1"/>
  <c r="D102" i="1"/>
  <c r="D108" i="1"/>
  <c r="H125" i="1"/>
  <c r="H124" i="1"/>
  <c r="F124" i="1"/>
  <c r="D150" i="1"/>
  <c r="D206" i="1" l="1"/>
  <c r="F207" i="1"/>
  <c r="H207" i="1"/>
  <c r="H53" i="1"/>
  <c r="F53" i="1"/>
  <c r="D127" i="1"/>
  <c r="H74" i="1"/>
  <c r="F74" i="1"/>
  <c r="H36" i="1"/>
  <c r="F36" i="1"/>
  <c r="F6" i="1" l="1"/>
  <c r="F8" i="1"/>
  <c r="F13" i="1"/>
  <c r="F15" i="1"/>
  <c r="F16" i="1"/>
  <c r="F17" i="1"/>
  <c r="F19" i="1"/>
  <c r="F20" i="1"/>
  <c r="F23" i="1"/>
  <c r="F24" i="1"/>
  <c r="F25" i="1"/>
  <c r="F27" i="1"/>
  <c r="F31" i="1"/>
  <c r="F32" i="1"/>
  <c r="F33" i="1"/>
  <c r="F34" i="1"/>
  <c r="F35" i="1"/>
  <c r="F38" i="1"/>
  <c r="F42" i="1"/>
  <c r="F43" i="1"/>
  <c r="F44" i="1"/>
  <c r="F45" i="1"/>
  <c r="F46" i="1"/>
  <c r="F47" i="1"/>
  <c r="F49" i="1"/>
  <c r="F50" i="1"/>
  <c r="F51" i="1"/>
  <c r="F52" i="1"/>
  <c r="F56" i="1"/>
  <c r="F60" i="1"/>
  <c r="F61" i="1"/>
  <c r="F62" i="1"/>
  <c r="F68" i="1"/>
  <c r="F73" i="1"/>
  <c r="F75" i="1"/>
  <c r="F77" i="1"/>
  <c r="F78" i="1"/>
  <c r="F79" i="1"/>
  <c r="F80" i="1"/>
  <c r="F81" i="1"/>
  <c r="F82" i="1"/>
  <c r="F83" i="1"/>
  <c r="F85" i="1"/>
  <c r="F89" i="1"/>
  <c r="F90" i="1"/>
  <c r="F91" i="1"/>
  <c r="F94" i="1"/>
  <c r="F96" i="1"/>
  <c r="F98" i="1"/>
  <c r="F99" i="1"/>
  <c r="F100" i="1"/>
  <c r="F101" i="1"/>
  <c r="F102" i="1"/>
  <c r="F103" i="1"/>
  <c r="F104" i="1"/>
  <c r="F105" i="1"/>
  <c r="F106" i="1"/>
  <c r="F107" i="1"/>
  <c r="F109" i="1"/>
  <c r="F110" i="1"/>
  <c r="F111" i="1"/>
  <c r="F112" i="1"/>
  <c r="F113" i="1"/>
  <c r="F114" i="1"/>
  <c r="F116" i="1"/>
  <c r="F118" i="1"/>
  <c r="F120" i="1"/>
  <c r="F121" i="1"/>
  <c r="F123" i="1"/>
  <c r="F132" i="1"/>
  <c r="F133" i="1"/>
  <c r="F134" i="1"/>
  <c r="F136" i="1"/>
  <c r="F137" i="1"/>
  <c r="F138" i="1"/>
  <c r="F139" i="1"/>
  <c r="F141" i="1"/>
  <c r="F142" i="1"/>
  <c r="F143" i="1"/>
  <c r="F144" i="1"/>
  <c r="F148" i="1"/>
  <c r="F149" i="1"/>
  <c r="F150" i="1"/>
  <c r="F152" i="1"/>
  <c r="F153" i="1"/>
  <c r="F154" i="1"/>
  <c r="F155" i="1"/>
  <c r="F156" i="1"/>
  <c r="F158" i="1"/>
  <c r="F160" i="1"/>
  <c r="F161" i="1"/>
  <c r="F168" i="1"/>
  <c r="F170" i="1"/>
  <c r="F171" i="1"/>
  <c r="F172" i="1"/>
  <c r="F88" i="1"/>
  <c r="F157" i="1"/>
  <c r="F84" i="1"/>
  <c r="F117" i="1"/>
  <c r="F159" i="1"/>
  <c r="F182" i="1"/>
  <c r="F119" i="1"/>
  <c r="F145" i="1"/>
  <c r="F184" i="1"/>
  <c r="F176" i="1"/>
  <c r="F177" i="1"/>
  <c r="F179" i="1"/>
  <c r="F180" i="1"/>
  <c r="F187" i="1"/>
  <c r="F188" i="1"/>
  <c r="F189" i="1"/>
  <c r="F191" i="1"/>
  <c r="F192" i="1"/>
  <c r="F197" i="1"/>
  <c r="F198" i="1"/>
  <c r="F199" i="1"/>
  <c r="F201" i="1"/>
  <c r="F202" i="1"/>
  <c r="F203" i="1"/>
  <c r="F204" i="1"/>
  <c r="F205" i="1"/>
  <c r="D7" i="1"/>
  <c r="D9" i="1"/>
  <c r="D10" i="1"/>
  <c r="D11" i="1"/>
  <c r="D14" i="1"/>
  <c r="D15" i="1"/>
  <c r="D18" i="1"/>
  <c r="D20" i="1"/>
  <c r="D21" i="1"/>
  <c r="D25" i="1"/>
  <c r="D29" i="1"/>
  <c r="D34" i="1"/>
  <c r="D35" i="1"/>
  <c r="D38" i="1"/>
  <c r="D39" i="1"/>
  <c r="D40" i="1"/>
  <c r="D48" i="1"/>
  <c r="D49" i="1"/>
  <c r="D50" i="1"/>
  <c r="D51" i="1"/>
  <c r="D52" i="1"/>
  <c r="D54" i="1"/>
  <c r="D58" i="1"/>
  <c r="D59" i="1"/>
  <c r="D64" i="1"/>
  <c r="D67" i="1"/>
  <c r="D68" i="1"/>
  <c r="D69" i="1"/>
  <c r="D70" i="1"/>
  <c r="D71" i="1"/>
  <c r="D72" i="1"/>
  <c r="D75" i="1"/>
  <c r="D76" i="1"/>
  <c r="D78" i="1"/>
  <c r="D79" i="1"/>
  <c r="D81" i="1"/>
  <c r="D85" i="1"/>
  <c r="D86" i="1"/>
  <c r="D87" i="1"/>
  <c r="D89" i="1"/>
  <c r="D90" i="1"/>
  <c r="D92" i="1"/>
  <c r="D93" i="1"/>
  <c r="D94" i="1"/>
  <c r="D95" i="1"/>
  <c r="D96" i="1"/>
  <c r="D97" i="1"/>
  <c r="D98" i="1"/>
  <c r="D100" i="1"/>
  <c r="D101" i="1"/>
  <c r="D104" i="1"/>
  <c r="D105" i="1"/>
  <c r="D111" i="1"/>
  <c r="D115" i="1"/>
  <c r="D122" i="1"/>
  <c r="D126" i="1"/>
  <c r="D128" i="1"/>
  <c r="D129" i="1"/>
  <c r="D132" i="1"/>
  <c r="D135" i="1"/>
  <c r="D136" i="1"/>
  <c r="D138" i="1"/>
  <c r="D142" i="1"/>
  <c r="D143" i="1"/>
  <c r="D146" i="1"/>
  <c r="D147" i="1"/>
  <c r="D149" i="1"/>
  <c r="D153" i="1"/>
  <c r="D162" i="1"/>
  <c r="D163" i="1"/>
  <c r="D164" i="1"/>
  <c r="D165" i="1"/>
  <c r="D166" i="1"/>
  <c r="D167" i="1"/>
  <c r="D168" i="1"/>
  <c r="D169" i="1"/>
  <c r="D171" i="1"/>
  <c r="D172" i="1"/>
  <c r="D173" i="1"/>
  <c r="D88" i="1"/>
  <c r="D63" i="1"/>
  <c r="D84" i="1"/>
  <c r="D174" i="1"/>
  <c r="D175" i="1"/>
  <c r="D176" i="1"/>
  <c r="D179" i="1"/>
  <c r="D180" i="1"/>
  <c r="D181" i="1"/>
  <c r="D185" i="1"/>
  <c r="D186" i="1"/>
  <c r="D188" i="1"/>
  <c r="D191" i="1"/>
  <c r="D192" i="1"/>
  <c r="D194" i="1"/>
  <c r="D195" i="1"/>
  <c r="D196" i="1"/>
  <c r="D199" i="1"/>
  <c r="D200" i="1"/>
  <c r="D203" i="1"/>
  <c r="D204" i="1"/>
  <c r="H73" i="1"/>
  <c r="H75" i="1"/>
  <c r="H77" i="1"/>
  <c r="H78" i="1"/>
  <c r="H79" i="1"/>
  <c r="H80" i="1"/>
  <c r="H81" i="1"/>
  <c r="H82" i="1"/>
  <c r="H83" i="1"/>
  <c r="H85" i="1"/>
  <c r="H89" i="1"/>
  <c r="H90" i="1"/>
  <c r="H91" i="1"/>
  <c r="H94" i="1"/>
  <c r="H96" i="1"/>
  <c r="H99" i="1"/>
  <c r="H100" i="1"/>
  <c r="H101" i="1"/>
  <c r="H102" i="1"/>
  <c r="H103" i="1"/>
  <c r="H104" i="1"/>
  <c r="H105" i="1"/>
  <c r="H106" i="1"/>
  <c r="H107" i="1"/>
  <c r="H109" i="1"/>
  <c r="H111" i="1"/>
  <c r="H112" i="1"/>
  <c r="H113" i="1"/>
  <c r="H114" i="1"/>
  <c r="H116" i="1"/>
  <c r="H118" i="1"/>
  <c r="H121" i="1"/>
  <c r="H123" i="1"/>
  <c r="H132" i="1"/>
  <c r="H133" i="1"/>
  <c r="H134" i="1"/>
  <c r="H136" i="1"/>
  <c r="H138" i="1"/>
  <c r="H139" i="1"/>
  <c r="H141" i="1"/>
  <c r="H142" i="1"/>
  <c r="H144" i="1"/>
  <c r="H148" i="1"/>
  <c r="H149" i="1"/>
  <c r="H150" i="1"/>
  <c r="H152" i="1"/>
  <c r="H153" i="1"/>
  <c r="H154" i="1"/>
  <c r="H155" i="1"/>
  <c r="H156" i="1"/>
  <c r="H158" i="1"/>
  <c r="H160" i="1"/>
  <c r="H161" i="1"/>
  <c r="H163" i="1"/>
  <c r="H168" i="1"/>
  <c r="H170" i="1"/>
  <c r="H171" i="1"/>
  <c r="H172" i="1"/>
  <c r="H157" i="1"/>
  <c r="H84" i="1"/>
  <c r="H117" i="1"/>
  <c r="H159" i="1"/>
  <c r="H119" i="1"/>
  <c r="H145" i="1"/>
  <c r="H176" i="1"/>
  <c r="H177" i="1"/>
  <c r="H179" i="1"/>
  <c r="H180" i="1"/>
  <c r="H187" i="1"/>
  <c r="H188" i="1"/>
  <c r="H189" i="1"/>
  <c r="H191" i="1"/>
  <c r="H192" i="1"/>
  <c r="H197" i="1"/>
  <c r="H198" i="1"/>
  <c r="H199" i="1"/>
  <c r="H201" i="1"/>
  <c r="H202" i="1"/>
  <c r="H204" i="1"/>
  <c r="H205" i="1"/>
  <c r="H68" i="1"/>
  <c r="H62" i="1"/>
  <c r="H56" i="1"/>
  <c r="H49" i="1"/>
  <c r="H46" i="1"/>
  <c r="H25" i="1"/>
  <c r="H27" i="1"/>
  <c r="H16" i="1"/>
  <c r="H13" i="1"/>
  <c r="H6" i="1"/>
  <c r="H8" i="1"/>
  <c r="H60" i="1" l="1"/>
  <c r="H24" i="1"/>
  <c r="H17" i="1"/>
  <c r="H15" i="1"/>
  <c r="F4" i="1" l="1"/>
  <c r="H4" i="1"/>
  <c r="D5" i="1"/>
  <c r="H20" i="1"/>
  <c r="H23" i="1"/>
  <c r="H31" i="1"/>
  <c r="H32" i="1"/>
  <c r="H33" i="1"/>
  <c r="H34" i="1"/>
  <c r="H35" i="1"/>
  <c r="H42" i="1"/>
  <c r="H43" i="1"/>
  <c r="H44" i="1"/>
  <c r="H45" i="1"/>
  <c r="H50" i="1"/>
  <c r="H51" i="1"/>
  <c r="H52" i="1"/>
  <c r="H61" i="1"/>
</calcChain>
</file>

<file path=xl/sharedStrings.xml><?xml version="1.0" encoding="utf-8"?>
<sst xmlns="http://schemas.openxmlformats.org/spreadsheetml/2006/main" count="222" uniqueCount="222">
  <si>
    <t>Town or City</t>
  </si>
  <si>
    <t>For floor meeting towns: what was the highest vote count? (your best estimate)</t>
  </si>
  <si>
    <t>Floor vote Turnout (%)</t>
  </si>
  <si>
    <t>For Australian ballot towns: how many people voted (include absentee ballot)?</t>
  </si>
  <si>
    <t>Australian ballot Turnout (%)</t>
  </si>
  <si>
    <t>For Australian ballot towns: how many voted by absentee ballot?</t>
  </si>
  <si>
    <t xml:space="preserve">Absentee Ballot Turnout (%) </t>
  </si>
  <si>
    <t>FLOOR VOTE TOTAL</t>
  </si>
  <si>
    <t>AUSTRALIAN BALLOT TOTAL</t>
  </si>
  <si>
    <t>ALBANY</t>
  </si>
  <si>
    <t>ARLINGTON</t>
  </si>
  <si>
    <t>BARNARD</t>
  </si>
  <si>
    <t>BRANDON</t>
  </si>
  <si>
    <t>CANAAN</t>
  </si>
  <si>
    <t>DORSET</t>
  </si>
  <si>
    <t>FAIR HAVEN</t>
  </si>
  <si>
    <t>FAIRFAX</t>
  </si>
  <si>
    <t>GRAFTON</t>
  </si>
  <si>
    <t>GROTON</t>
  </si>
  <si>
    <t>HANCOCK</t>
  </si>
  <si>
    <t>HIGHGATE</t>
  </si>
  <si>
    <t>HUNTINGTON</t>
  </si>
  <si>
    <t>MIDDLESEX</t>
  </si>
  <si>
    <t>MORETOWN</t>
  </si>
  <si>
    <t>NORTHFIELD</t>
  </si>
  <si>
    <t>READSBORO</t>
  </si>
  <si>
    <t>ROCKINGHAM</t>
  </si>
  <si>
    <t>ROXBURY</t>
  </si>
  <si>
    <t>SHREWSBURY</t>
  </si>
  <si>
    <t>ST. JOHNSBURY</t>
  </si>
  <si>
    <t>STANNARD</t>
  </si>
  <si>
    <t>SUNDERLAND</t>
  </si>
  <si>
    <t>SWANTON</t>
  </si>
  <si>
    <t>VERNON</t>
  </si>
  <si>
    <t>WHITINGHAM</t>
  </si>
  <si>
    <t>WILMINGTON</t>
  </si>
  <si>
    <t>ADDISON</t>
  </si>
  <si>
    <t>ATHENS</t>
  </si>
  <si>
    <t>BALTIMORE</t>
  </si>
  <si>
    <t>BARNET</t>
  </si>
  <si>
    <t>BARRE CITY</t>
  </si>
  <si>
    <t>BARTON</t>
  </si>
  <si>
    <t>BELVIDERE</t>
  </si>
  <si>
    <t>BENNINGTON</t>
  </si>
  <si>
    <t>BENSON</t>
  </si>
  <si>
    <t>BERKSHIRE</t>
  </si>
  <si>
    <t>BETHEL</t>
  </si>
  <si>
    <t>BOLTON</t>
  </si>
  <si>
    <t>BRADFORD</t>
  </si>
  <si>
    <t>BRATTLEBORO</t>
  </si>
  <si>
    <t>BRIDGEWATER</t>
  </si>
  <si>
    <t>BRIDPORT</t>
  </si>
  <si>
    <t>BRIGHTON</t>
  </si>
  <si>
    <t>BRISTOL</t>
  </si>
  <si>
    <t>BROOKFIELD</t>
  </si>
  <si>
    <t>BROOKLINE</t>
  </si>
  <si>
    <t>BURLINGTON</t>
  </si>
  <si>
    <t>CABOT</t>
  </si>
  <si>
    <t>CALAIS</t>
  </si>
  <si>
    <t>CASTLETON</t>
  </si>
  <si>
    <t>CHARLOTTE</t>
  </si>
  <si>
    <t>CHELSEA</t>
  </si>
  <si>
    <t>CHESTER</t>
  </si>
  <si>
    <t>CHITTENDEN</t>
  </si>
  <si>
    <t>CLARENDON</t>
  </si>
  <si>
    <t>COLCHESTER</t>
  </si>
  <si>
    <t>CONCORD</t>
  </si>
  <si>
    <t>CORINTH</t>
  </si>
  <si>
    <t>CORNWALL</t>
  </si>
  <si>
    <t>DANVILLE</t>
  </si>
  <si>
    <t>DERBY</t>
  </si>
  <si>
    <t>DUXBURY</t>
  </si>
  <si>
    <t>EAST MONTPELIER</t>
  </si>
  <si>
    <t>EDEN</t>
  </si>
  <si>
    <t>ELMORE</t>
  </si>
  <si>
    <t>FAIRFIELD</t>
  </si>
  <si>
    <t>FAIRLEE</t>
  </si>
  <si>
    <t>FRANKLIN</t>
  </si>
  <si>
    <t>GEORGIA</t>
  </si>
  <si>
    <t>GOSHEN</t>
  </si>
  <si>
    <t>GRANBY</t>
  </si>
  <si>
    <t>GREENSBORO</t>
  </si>
  <si>
    <t>GUILDHALL</t>
  </si>
  <si>
    <t>GUILFORD</t>
  </si>
  <si>
    <t>HARTFORD</t>
  </si>
  <si>
    <t>HARTLAND</t>
  </si>
  <si>
    <t>HINESBURG</t>
  </si>
  <si>
    <t>HOLLAND</t>
  </si>
  <si>
    <t>HUBBARDTON</t>
  </si>
  <si>
    <t>HYDE PARK</t>
  </si>
  <si>
    <t>IRASBURG</t>
  </si>
  <si>
    <t>JAY</t>
  </si>
  <si>
    <t>JERICHO</t>
  </si>
  <si>
    <t>JOHNSON</t>
  </si>
  <si>
    <t>KILLINGTON</t>
  </si>
  <si>
    <t>LANDGROVE</t>
  </si>
  <si>
    <t>LEICESTER</t>
  </si>
  <si>
    <t>LEMINGTON</t>
  </si>
  <si>
    <t>LINCOLN</t>
  </si>
  <si>
    <t>LONDONDERRY</t>
  </si>
  <si>
    <t>LOWELL</t>
  </si>
  <si>
    <t>LUDLOW</t>
  </si>
  <si>
    <t>LYNDON</t>
  </si>
  <si>
    <t>MAIDSTONE</t>
  </si>
  <si>
    <t>MANCHESTER</t>
  </si>
  <si>
    <t>MARLBORO</t>
  </si>
  <si>
    <t>MENDON</t>
  </si>
  <si>
    <t>MIDDLEBURY</t>
  </si>
  <si>
    <t>MILTON</t>
  </si>
  <si>
    <t>MORRISTOWN</t>
  </si>
  <si>
    <t>MOUNT HOLLY</t>
  </si>
  <si>
    <t>MOUNT TABOR</t>
  </si>
  <si>
    <t>NEW HAVEN</t>
  </si>
  <si>
    <t>NEWBURY</t>
  </si>
  <si>
    <t>NEWFANE</t>
  </si>
  <si>
    <t>NEWPORT CITY</t>
  </si>
  <si>
    <t>NORTH HERO</t>
  </si>
  <si>
    <t>NORTON</t>
  </si>
  <si>
    <t>NORWICH</t>
  </si>
  <si>
    <t>ORWELL</t>
  </si>
  <si>
    <t>PAWLET</t>
  </si>
  <si>
    <t>PEACHAM</t>
  </si>
  <si>
    <t>PERU</t>
  </si>
  <si>
    <t>PITTSFIELD</t>
  </si>
  <si>
    <t>PLYMOUTH</t>
  </si>
  <si>
    <t>POMFRET</t>
  </si>
  <si>
    <t>POULTNEY</t>
  </si>
  <si>
    <t>PROCTOR</t>
  </si>
  <si>
    <t>PUTNEY</t>
  </si>
  <si>
    <t>RANDOLPH</t>
  </si>
  <si>
    <t>RICHFORD</t>
  </si>
  <si>
    <t>RICHMOND</t>
  </si>
  <si>
    <t>RIPTON</t>
  </si>
  <si>
    <t>ROYALTON</t>
  </si>
  <si>
    <t>RUPERT</t>
  </si>
  <si>
    <t>RUTLAND TOWN</t>
  </si>
  <si>
    <t>RYEGATE</t>
  </si>
  <si>
    <t>SEARSBURG</t>
  </si>
  <si>
    <t>SHAFTSBURY</t>
  </si>
  <si>
    <t>SHEFFIELD</t>
  </si>
  <si>
    <t>SHELBURNE</t>
  </si>
  <si>
    <t>SHELDON</t>
  </si>
  <si>
    <t>SHOREHAM</t>
  </si>
  <si>
    <t>SOUTH BURLINGTON</t>
  </si>
  <si>
    <t>SOUTH HERO</t>
  </si>
  <si>
    <t>SPRINGFIELD</t>
  </si>
  <si>
    <t>ST. ALBANS CITY</t>
  </si>
  <si>
    <t>STARKSBORO</t>
  </si>
  <si>
    <t>STOCKBRIDGE</t>
  </si>
  <si>
    <t>STRATTON</t>
  </si>
  <si>
    <t>SUDBURY</t>
  </si>
  <si>
    <t>THETFORD</t>
  </si>
  <si>
    <t>TINMOUTH</t>
  </si>
  <si>
    <t>TOPSHAM</t>
  </si>
  <si>
    <t>TROY</t>
  </si>
  <si>
    <t>UNDERHILL</t>
  </si>
  <si>
    <t>VERGENNES</t>
  </si>
  <si>
    <t>VICTORY</t>
  </si>
  <si>
    <t>WALDEN</t>
  </si>
  <si>
    <t>WALLINGFORD</t>
  </si>
  <si>
    <t>WARDSBORO</t>
  </si>
  <si>
    <t>WATERBURY</t>
  </si>
  <si>
    <t>WATERFORD</t>
  </si>
  <si>
    <t>WATERVILLE</t>
  </si>
  <si>
    <t>WEST FAIRLEE</t>
  </si>
  <si>
    <t>WEST WINDSOR</t>
  </si>
  <si>
    <t>WESTFORD</t>
  </si>
  <si>
    <t>WESTMINSTER</t>
  </si>
  <si>
    <t>WESTON</t>
  </si>
  <si>
    <t>WHEELOCK</t>
  </si>
  <si>
    <t>WILLISTON</t>
  </si>
  <si>
    <t>WINDHAM</t>
  </si>
  <si>
    <t>WINDSOR</t>
  </si>
  <si>
    <t>WINHALL</t>
  </si>
  <si>
    <t>WOLCOTT</t>
  </si>
  <si>
    <t>WOODFORD</t>
  </si>
  <si>
    <t>BLOOMFIELD</t>
  </si>
  <si>
    <t>BROWNINGTON</t>
  </si>
  <si>
    <t>DANBY</t>
  </si>
  <si>
    <t>EAST HAVEN</t>
  </si>
  <si>
    <t>FAYSTON</t>
  </si>
  <si>
    <t>MORGAN</t>
  </si>
  <si>
    <t>NEWARK</t>
  </si>
  <si>
    <t>SAINT GEORGE</t>
  </si>
  <si>
    <t>SUTTON</t>
  </si>
  <si>
    <t>CHARLESTON</t>
  </si>
  <si>
    <t>TUNBRIDGE</t>
  </si>
  <si>
    <t>VERSHIRE</t>
  </si>
  <si>
    <t>WELLS</t>
  </si>
  <si>
    <t>WOODSTOCK</t>
  </si>
  <si>
    <t>COVENTRY</t>
  </si>
  <si>
    <t>ESSEX</t>
  </si>
  <si>
    <t>WEST RUTLAND</t>
  </si>
  <si>
    <t>WILLIAMSTOWN</t>
  </si>
  <si>
    <t>FLOOR</t>
  </si>
  <si>
    <t>CAVENDISH</t>
  </si>
  <si>
    <t>HALIFAX</t>
  </si>
  <si>
    <t>AUSTRALIAN</t>
  </si>
  <si>
    <t>How many voters were on your TM checklist 3/3/20?</t>
  </si>
  <si>
    <t>4,334</t>
  </si>
  <si>
    <t>3,763</t>
  </si>
  <si>
    <t>3,254</t>
  </si>
  <si>
    <t>2,700</t>
  </si>
  <si>
    <t>BAKERSFIELD</t>
  </si>
  <si>
    <t>BRUNSWICK</t>
  </si>
  <si>
    <t>GRANVILLE</t>
  </si>
  <si>
    <t>15,330</t>
  </si>
  <si>
    <t>1,950</t>
  </si>
  <si>
    <t>1,275</t>
  </si>
  <si>
    <t xml:space="preserve">2020 ANNUAL MEETING - VOTER TURNOUT STATISTICS </t>
  </si>
  <si>
    <t xml:space="preserve">BURKE </t>
  </si>
  <si>
    <t xml:space="preserve">IRA </t>
  </si>
  <si>
    <t>JAMAICA</t>
  </si>
  <si>
    <t>KIRBY</t>
  </si>
  <si>
    <t>MONTGOMERY</t>
  </si>
  <si>
    <t xml:space="preserve">READING </t>
  </si>
  <si>
    <t>ROCHESTER</t>
  </si>
  <si>
    <t>SALISBURY</t>
  </si>
  <si>
    <t>STRAFFORD</t>
  </si>
  <si>
    <t>NEWPORT TOWN</t>
  </si>
  <si>
    <t xml:space="preserve">WHITING </t>
  </si>
  <si>
    <t>ST. ALBANS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</si>
</sst>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10" fontId="3" fillId="3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Fill="1" applyAlignment="1"/>
    <xf numFmtId="3" fontId="3" fillId="3" borderId="5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9" fillId="0" borderId="0" xfId="0" applyFont="1" applyFill="1" applyAlignment="1"/>
    <xf numFmtId="0" fontId="2" fillId="7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2" fillId="0" borderId="0" xfId="0" applyNumberFormat="1" applyFont="1" applyFill="1" applyAlignment="1"/>
    <xf numFmtId="0" fontId="6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0" fontId="3" fillId="5" borderId="2" xfId="0" applyNumberFormat="1" applyFont="1" applyFill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6"/>
  <sheetViews>
    <sheetView tabSelected="1" workbookViewId="0">
      <selection activeCell="A2" sqref="A2:F2"/>
    </sheetView>
  </sheetViews>
  <sheetFormatPr defaultColWidth="8.85546875" defaultRowHeight="15" x14ac:dyDescent="0.25"/>
  <cols>
    <col min="1" max="1" width="32.42578125" style="9" customWidth="1"/>
    <col min="2" max="7" width="26.42578125" style="10" customWidth="1"/>
    <col min="8" max="8" width="26.42578125" style="9" customWidth="1"/>
    <col min="9" max="16384" width="8.85546875" style="9"/>
  </cols>
  <sheetData>
    <row r="1" spans="1:9" x14ac:dyDescent="0.25">
      <c r="F1" s="9"/>
      <c r="H1" s="23"/>
    </row>
    <row r="2" spans="1:9" s="10" customFormat="1" ht="54" customHeight="1" x14ac:dyDescent="0.25">
      <c r="A2" s="32" t="s">
        <v>209</v>
      </c>
      <c r="B2" s="33"/>
      <c r="C2" s="33"/>
      <c r="D2" s="33"/>
      <c r="E2" s="33"/>
      <c r="F2" s="33"/>
      <c r="G2" s="7"/>
      <c r="H2" s="7"/>
      <c r="I2" s="22"/>
    </row>
    <row r="3" spans="1:9" s="2" customFormat="1" ht="173.1" customHeight="1" x14ac:dyDescent="0.25">
      <c r="A3" s="1" t="s">
        <v>0</v>
      </c>
      <c r="B3" s="1" t="s">
        <v>198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9" s="10" customFormat="1" ht="24.95" customHeight="1" x14ac:dyDescent="0.25">
      <c r="A4" s="24" t="s">
        <v>36</v>
      </c>
      <c r="B4" s="12">
        <v>1080</v>
      </c>
      <c r="C4" s="18">
        <v>50</v>
      </c>
      <c r="D4" s="8">
        <f t="shared" ref="D4:D11" si="0">SUM(C4/B4)</f>
        <v>4.6296296296296294E-2</v>
      </c>
      <c r="E4" s="18">
        <v>456</v>
      </c>
      <c r="F4" s="8">
        <f>SUM(E4/B4)</f>
        <v>0.42222222222222222</v>
      </c>
      <c r="G4" s="18">
        <v>40</v>
      </c>
      <c r="H4" s="8">
        <f>SUM(G4/E4)</f>
        <v>8.771929824561403E-2</v>
      </c>
    </row>
    <row r="5" spans="1:9" s="10" customFormat="1" ht="24.95" customHeight="1" x14ac:dyDescent="0.25">
      <c r="A5" s="24" t="s">
        <v>9</v>
      </c>
      <c r="B5" s="12">
        <v>646</v>
      </c>
      <c r="C5" s="18">
        <v>95</v>
      </c>
      <c r="D5" s="8">
        <f t="shared" si="0"/>
        <v>0.14705882352941177</v>
      </c>
      <c r="E5" s="18"/>
      <c r="F5" s="8"/>
      <c r="G5" s="18"/>
      <c r="H5" s="8"/>
    </row>
    <row r="6" spans="1:9" s="10" customFormat="1" ht="24.95" customHeight="1" x14ac:dyDescent="0.25">
      <c r="A6" s="24" t="s">
        <v>10</v>
      </c>
      <c r="B6" s="12">
        <v>1987</v>
      </c>
      <c r="C6" s="18">
        <v>120</v>
      </c>
      <c r="D6" s="8">
        <f t="shared" si="0"/>
        <v>6.0392551585304481E-2</v>
      </c>
      <c r="E6" s="18">
        <v>802</v>
      </c>
      <c r="F6" s="8">
        <f>SUM(E6/B6)</f>
        <v>0.40362355309511827</v>
      </c>
      <c r="G6" s="18">
        <v>85</v>
      </c>
      <c r="H6" s="8">
        <f>SUM(G6/E6)</f>
        <v>0.1059850374064838</v>
      </c>
    </row>
    <row r="7" spans="1:9" ht="24.95" customHeight="1" x14ac:dyDescent="0.25">
      <c r="A7" s="24" t="s">
        <v>37</v>
      </c>
      <c r="B7" s="12">
        <v>59</v>
      </c>
      <c r="C7" s="18">
        <v>57</v>
      </c>
      <c r="D7" s="8">
        <f t="shared" si="0"/>
        <v>0.96610169491525422</v>
      </c>
      <c r="E7" s="18"/>
      <c r="F7" s="8"/>
      <c r="G7" s="18"/>
      <c r="H7" s="8"/>
    </row>
    <row r="8" spans="1:9" ht="24.95" customHeight="1" x14ac:dyDescent="0.25">
      <c r="A8" s="24" t="s">
        <v>203</v>
      </c>
      <c r="B8" s="12">
        <v>960</v>
      </c>
      <c r="C8" s="18">
        <v>98</v>
      </c>
      <c r="D8" s="8">
        <f t="shared" si="0"/>
        <v>0.10208333333333333</v>
      </c>
      <c r="E8" s="18">
        <v>354</v>
      </c>
      <c r="F8" s="8">
        <f>SUM(E8/B8)</f>
        <v>0.36875000000000002</v>
      </c>
      <c r="G8" s="18">
        <v>25</v>
      </c>
      <c r="H8" s="8">
        <f>SUM(G8/E8)</f>
        <v>7.0621468926553674E-2</v>
      </c>
    </row>
    <row r="9" spans="1:9" ht="24.95" customHeight="1" x14ac:dyDescent="0.25">
      <c r="A9" s="24" t="s">
        <v>38</v>
      </c>
      <c r="B9" s="12">
        <v>191</v>
      </c>
      <c r="C9" s="18">
        <v>28</v>
      </c>
      <c r="D9" s="8">
        <f t="shared" si="0"/>
        <v>0.14659685863874344</v>
      </c>
      <c r="E9" s="18">
        <v>72</v>
      </c>
      <c r="F9" s="8">
        <f t="shared" ref="F9:F12" si="1">SUM(E9/B9)</f>
        <v>0.37696335078534032</v>
      </c>
      <c r="G9" s="18">
        <v>3</v>
      </c>
      <c r="H9" s="8">
        <f t="shared" ref="H9:H12" si="2">SUM(G9/E9)</f>
        <v>4.1666666666666664E-2</v>
      </c>
    </row>
    <row r="10" spans="1:9" ht="24.95" customHeight="1" x14ac:dyDescent="0.25">
      <c r="A10" s="24" t="s">
        <v>11</v>
      </c>
      <c r="B10" s="12">
        <v>733</v>
      </c>
      <c r="C10" s="18">
        <v>60</v>
      </c>
      <c r="D10" s="8">
        <f t="shared" si="0"/>
        <v>8.1855388813096869E-2</v>
      </c>
      <c r="E10" s="18"/>
      <c r="F10" s="8"/>
      <c r="G10" s="18"/>
      <c r="H10" s="8"/>
    </row>
    <row r="11" spans="1:9" ht="24.95" customHeight="1" x14ac:dyDescent="0.25">
      <c r="A11" s="24" t="s">
        <v>39</v>
      </c>
      <c r="B11" s="12">
        <v>1406</v>
      </c>
      <c r="C11" s="18">
        <v>250</v>
      </c>
      <c r="D11" s="8">
        <f t="shared" si="0"/>
        <v>0.17780938833570412</v>
      </c>
      <c r="E11" s="18">
        <v>601</v>
      </c>
      <c r="F11" s="8">
        <f t="shared" si="1"/>
        <v>0.42745376955903269</v>
      </c>
      <c r="G11" s="18">
        <v>988</v>
      </c>
      <c r="H11" s="8">
        <f t="shared" si="2"/>
        <v>1.6439267886855242</v>
      </c>
    </row>
    <row r="12" spans="1:9" ht="24.95" customHeight="1" x14ac:dyDescent="0.25">
      <c r="A12" s="24" t="s">
        <v>40</v>
      </c>
      <c r="B12" s="12">
        <v>5548</v>
      </c>
      <c r="C12" s="18"/>
      <c r="D12" s="8"/>
      <c r="E12" s="18">
        <v>1928</v>
      </c>
      <c r="F12" s="8">
        <f t="shared" si="1"/>
        <v>0.34751261715933668</v>
      </c>
      <c r="G12" s="18">
        <v>303</v>
      </c>
      <c r="H12" s="8">
        <f t="shared" si="2"/>
        <v>0.15715767634854771</v>
      </c>
    </row>
    <row r="13" spans="1:9" ht="24.95" customHeight="1" x14ac:dyDescent="0.25">
      <c r="A13" s="24" t="s">
        <v>41</v>
      </c>
      <c r="B13" s="12">
        <v>2002</v>
      </c>
      <c r="C13" s="18"/>
      <c r="D13" s="8"/>
      <c r="E13" s="18">
        <v>412</v>
      </c>
      <c r="F13" s="8">
        <f>SUM(E13/B13)</f>
        <v>0.20579420579420579</v>
      </c>
      <c r="G13" s="18">
        <v>26</v>
      </c>
      <c r="H13" s="8">
        <f>SUM(G13/E13)</f>
        <v>6.3106796116504854E-2</v>
      </c>
    </row>
    <row r="14" spans="1:9" ht="24.95" customHeight="1" x14ac:dyDescent="0.25">
      <c r="A14" s="24" t="s">
        <v>42</v>
      </c>
      <c r="B14" s="12">
        <v>235</v>
      </c>
      <c r="C14" s="18">
        <v>45</v>
      </c>
      <c r="D14" s="8">
        <f>SUM(C14/B14)</f>
        <v>0.19148936170212766</v>
      </c>
      <c r="E14" s="18"/>
      <c r="F14" s="8"/>
      <c r="G14" s="18"/>
      <c r="H14" s="8"/>
    </row>
    <row r="15" spans="1:9" ht="24.95" customHeight="1" x14ac:dyDescent="0.25">
      <c r="A15" s="24" t="s">
        <v>43</v>
      </c>
      <c r="B15" s="12">
        <v>9592</v>
      </c>
      <c r="C15" s="18">
        <v>75</v>
      </c>
      <c r="D15" s="8">
        <f>SUM(C15/B15)</f>
        <v>7.8190158465387821E-3</v>
      </c>
      <c r="E15" s="18">
        <v>3746</v>
      </c>
      <c r="F15" s="8">
        <f>SUM(E15/B15)</f>
        <v>0.39053377814845702</v>
      </c>
      <c r="G15" s="18">
        <v>414</v>
      </c>
      <c r="H15" s="8">
        <f>SUM(G15/E15)</f>
        <v>0.11051788574479444</v>
      </c>
    </row>
    <row r="16" spans="1:9" ht="24.95" customHeight="1" x14ac:dyDescent="0.25">
      <c r="A16" s="24" t="s">
        <v>44</v>
      </c>
      <c r="B16" s="12">
        <v>765</v>
      </c>
      <c r="C16" s="18">
        <v>64</v>
      </c>
      <c r="D16" s="8">
        <f>SUM(C16/B16)</f>
        <v>8.3660130718954243E-2</v>
      </c>
      <c r="E16" s="18">
        <v>346</v>
      </c>
      <c r="F16" s="8">
        <f>SUM(E16/B16)</f>
        <v>0.45228758169934641</v>
      </c>
      <c r="G16" s="18">
        <v>35</v>
      </c>
      <c r="H16" s="8">
        <f>SUM(G16/E16)</f>
        <v>0.10115606936416185</v>
      </c>
    </row>
    <row r="17" spans="1:8" ht="24.95" customHeight="1" x14ac:dyDescent="0.25">
      <c r="A17" s="24" t="s">
        <v>45</v>
      </c>
      <c r="B17" s="12">
        <v>1044</v>
      </c>
      <c r="C17" s="18"/>
      <c r="D17" s="8"/>
      <c r="E17" s="18">
        <v>265</v>
      </c>
      <c r="F17" s="8">
        <f>SUM(E17/B17)</f>
        <v>0.25383141762452105</v>
      </c>
      <c r="G17" s="18">
        <v>30</v>
      </c>
      <c r="H17" s="8">
        <f>SUM(G17/E17)</f>
        <v>0.11320754716981132</v>
      </c>
    </row>
    <row r="18" spans="1:8" ht="24.95" customHeight="1" x14ac:dyDescent="0.25">
      <c r="A18" s="24" t="s">
        <v>46</v>
      </c>
      <c r="B18" s="12">
        <v>1528</v>
      </c>
      <c r="C18" s="18">
        <v>130</v>
      </c>
      <c r="D18" s="8">
        <f>SUM(C18/B18)</f>
        <v>8.5078534031413619E-2</v>
      </c>
      <c r="E18" s="18"/>
      <c r="F18" s="8"/>
      <c r="G18" s="18"/>
      <c r="H18" s="8"/>
    </row>
    <row r="19" spans="1:8" ht="24.95" customHeight="1" x14ac:dyDescent="0.25">
      <c r="A19" s="24" t="s">
        <v>176</v>
      </c>
      <c r="B19" s="12">
        <v>162</v>
      </c>
      <c r="C19" s="18"/>
      <c r="D19" s="8"/>
      <c r="E19" s="18">
        <v>54</v>
      </c>
      <c r="F19" s="8">
        <f>SUM(E19/B19)</f>
        <v>0.33333333333333331</v>
      </c>
      <c r="G19" s="18">
        <v>2</v>
      </c>
      <c r="H19" s="8">
        <f t="shared" ref="H19" si="3">SUM(G19/E19)</f>
        <v>3.7037037037037035E-2</v>
      </c>
    </row>
    <row r="20" spans="1:8" ht="24.95" customHeight="1" x14ac:dyDescent="0.25">
      <c r="A20" s="24" t="s">
        <v>47</v>
      </c>
      <c r="B20" s="12">
        <v>1004</v>
      </c>
      <c r="C20" s="18">
        <v>105</v>
      </c>
      <c r="D20" s="8">
        <f>SUM(C20/B20)</f>
        <v>0.10458167330677291</v>
      </c>
      <c r="E20" s="18">
        <v>452</v>
      </c>
      <c r="F20" s="8">
        <f>SUM(E20/B20)</f>
        <v>0.45019920318725098</v>
      </c>
      <c r="G20" s="18">
        <v>34</v>
      </c>
      <c r="H20" s="8">
        <f>SUM(G20/E20)</f>
        <v>7.5221238938053103E-2</v>
      </c>
    </row>
    <row r="21" spans="1:8" ht="24.95" customHeight="1" x14ac:dyDescent="0.25">
      <c r="A21" s="24" t="s">
        <v>48</v>
      </c>
      <c r="B21" s="12">
        <v>2008</v>
      </c>
      <c r="C21" s="18">
        <v>120</v>
      </c>
      <c r="D21" s="8">
        <f>SUM(C21/B21)</f>
        <v>5.9760956175298807E-2</v>
      </c>
      <c r="E21" s="18"/>
      <c r="F21" s="8"/>
      <c r="G21" s="18"/>
      <c r="H21" s="8"/>
    </row>
    <row r="22" spans="1:8" ht="24.95" customHeight="1" x14ac:dyDescent="0.25">
      <c r="A22" s="24" t="s">
        <v>12</v>
      </c>
      <c r="B22" s="12">
        <v>3000</v>
      </c>
      <c r="C22" s="18"/>
      <c r="D22" s="8"/>
      <c r="E22" s="18">
        <v>1200</v>
      </c>
      <c r="F22" s="8">
        <f t="shared" ref="F22" si="4">SUM(E22/B22)</f>
        <v>0.4</v>
      </c>
      <c r="G22" s="18">
        <v>200</v>
      </c>
      <c r="H22" s="8">
        <f t="shared" ref="H22" si="5">SUM(G22/E22)</f>
        <v>0.16666666666666666</v>
      </c>
    </row>
    <row r="23" spans="1:8" ht="24.95" customHeight="1" x14ac:dyDescent="0.25">
      <c r="A23" s="24" t="s">
        <v>49</v>
      </c>
      <c r="B23" s="12">
        <v>9658</v>
      </c>
      <c r="C23" s="18"/>
      <c r="D23" s="8"/>
      <c r="E23" s="18">
        <v>3690</v>
      </c>
      <c r="F23" s="8">
        <f>SUM(E23/B23)</f>
        <v>0.38206668047214742</v>
      </c>
      <c r="G23" s="18">
        <v>1199</v>
      </c>
      <c r="H23" s="8">
        <f>SUM(G23/E23)</f>
        <v>0.32493224932249321</v>
      </c>
    </row>
    <row r="24" spans="1:8" ht="24.95" customHeight="1" x14ac:dyDescent="0.25">
      <c r="A24" s="24" t="s">
        <v>50</v>
      </c>
      <c r="B24" s="12">
        <v>715</v>
      </c>
      <c r="C24" s="18">
        <v>105</v>
      </c>
      <c r="D24" s="8">
        <f t="shared" ref="D24" si="6">SUM(C24/B24)</f>
        <v>0.14685314685314685</v>
      </c>
      <c r="E24" s="18">
        <v>332</v>
      </c>
      <c r="F24" s="8">
        <f>SUM(E24/B24)</f>
        <v>0.46433566433566431</v>
      </c>
      <c r="G24" s="18">
        <v>38</v>
      </c>
      <c r="H24" s="8">
        <f>SUM(G24/E24)</f>
        <v>0.1144578313253012</v>
      </c>
    </row>
    <row r="25" spans="1:8" ht="24.95" customHeight="1" x14ac:dyDescent="0.25">
      <c r="A25" s="24" t="s">
        <v>51</v>
      </c>
      <c r="B25" s="12">
        <v>917</v>
      </c>
      <c r="C25" s="18">
        <v>83</v>
      </c>
      <c r="D25" s="8">
        <f>SUM(C25/B25)</f>
        <v>9.0512540894220284E-2</v>
      </c>
      <c r="E25" s="18">
        <v>340</v>
      </c>
      <c r="F25" s="8">
        <f>SUM(E25/B25)</f>
        <v>0.3707742639040349</v>
      </c>
      <c r="G25" s="18">
        <v>40</v>
      </c>
      <c r="H25" s="8">
        <f>SUM(G25/E25)</f>
        <v>0.11764705882352941</v>
      </c>
    </row>
    <row r="26" spans="1:8" ht="24.95" customHeight="1" x14ac:dyDescent="0.25">
      <c r="A26" s="24" t="s">
        <v>52</v>
      </c>
      <c r="B26" s="12">
        <v>890</v>
      </c>
      <c r="C26" s="18"/>
      <c r="D26" s="8"/>
      <c r="E26" s="18">
        <v>265</v>
      </c>
      <c r="F26" s="8">
        <f>SUM(E26/B26)</f>
        <v>0.29775280898876405</v>
      </c>
      <c r="G26" s="18">
        <v>26</v>
      </c>
      <c r="H26" s="8">
        <f>SUM(G26/E26)</f>
        <v>9.8113207547169817E-2</v>
      </c>
    </row>
    <row r="27" spans="1:8" ht="24.95" customHeight="1" x14ac:dyDescent="0.25">
      <c r="A27" s="24" t="s">
        <v>53</v>
      </c>
      <c r="B27" s="12">
        <v>3009</v>
      </c>
      <c r="C27" s="18">
        <v>123</v>
      </c>
      <c r="D27" s="8">
        <f>SUM(C27/B27)</f>
        <v>4.0877367896311065E-2</v>
      </c>
      <c r="E27" s="18">
        <v>1351</v>
      </c>
      <c r="F27" s="8">
        <f>SUM(E27/B27)</f>
        <v>0.44898637421070126</v>
      </c>
      <c r="G27" s="18">
        <v>145</v>
      </c>
      <c r="H27" s="8">
        <f>SUM(G27/E27)</f>
        <v>0.1073279052553664</v>
      </c>
    </row>
    <row r="28" spans="1:8" ht="24.95" customHeight="1" x14ac:dyDescent="0.25">
      <c r="A28" s="24" t="s">
        <v>54</v>
      </c>
      <c r="B28" s="12">
        <v>1004</v>
      </c>
      <c r="C28" s="18"/>
      <c r="D28" s="8"/>
      <c r="E28" s="18">
        <v>413</v>
      </c>
      <c r="F28" s="8">
        <f>SUM(E28/B28)</f>
        <v>0.4113545816733068</v>
      </c>
      <c r="G28" s="18"/>
      <c r="H28" s="8"/>
    </row>
    <row r="29" spans="1:8" ht="24.95" customHeight="1" x14ac:dyDescent="0.25">
      <c r="A29" s="24" t="s">
        <v>55</v>
      </c>
      <c r="B29" s="12">
        <v>425</v>
      </c>
      <c r="C29" s="18">
        <v>70</v>
      </c>
      <c r="D29" s="8">
        <f>SUM(C29/B29)</f>
        <v>0.16470588235294117</v>
      </c>
      <c r="E29" s="18"/>
      <c r="F29" s="8"/>
      <c r="G29" s="18"/>
      <c r="H29" s="8"/>
    </row>
    <row r="30" spans="1:8" ht="24.95" customHeight="1" x14ac:dyDescent="0.25">
      <c r="A30" s="24" t="s">
        <v>177</v>
      </c>
      <c r="B30" s="12">
        <v>656</v>
      </c>
      <c r="C30" s="18">
        <v>72</v>
      </c>
      <c r="D30" s="8">
        <f t="shared" ref="D30:D31" si="7">SUM(C30/B30)</f>
        <v>0.10975609756097561</v>
      </c>
      <c r="E30" s="18"/>
      <c r="F30" s="8"/>
      <c r="G30" s="18"/>
      <c r="H30" s="8"/>
    </row>
    <row r="31" spans="1:8" ht="24.95" customHeight="1" x14ac:dyDescent="0.25">
      <c r="A31" s="24" t="s">
        <v>204</v>
      </c>
      <c r="B31" s="12">
        <v>67</v>
      </c>
      <c r="C31" s="18">
        <v>13</v>
      </c>
      <c r="D31" s="8">
        <f t="shared" si="7"/>
        <v>0.19402985074626866</v>
      </c>
      <c r="E31" s="18">
        <v>34</v>
      </c>
      <c r="F31" s="8">
        <f t="shared" ref="F31:F38" si="8">SUM(E31/B31)</f>
        <v>0.5074626865671642</v>
      </c>
      <c r="G31" s="18">
        <v>1</v>
      </c>
      <c r="H31" s="8">
        <f t="shared" ref="H31:H36" si="9">SUM(G31/E31)</f>
        <v>2.9411764705882353E-2</v>
      </c>
    </row>
    <row r="32" spans="1:8" ht="24.95" customHeight="1" x14ac:dyDescent="0.25">
      <c r="A32" s="24" t="s">
        <v>210</v>
      </c>
      <c r="B32" s="12">
        <v>1231</v>
      </c>
      <c r="C32" s="18"/>
      <c r="D32" s="8"/>
      <c r="E32" s="18">
        <v>463</v>
      </c>
      <c r="F32" s="8">
        <f t="shared" si="8"/>
        <v>0.37611697806661248</v>
      </c>
      <c r="G32" s="18">
        <v>51</v>
      </c>
      <c r="H32" s="8">
        <f t="shared" si="9"/>
        <v>0.1101511879049676</v>
      </c>
    </row>
    <row r="33" spans="1:8" ht="24.95" customHeight="1" x14ac:dyDescent="0.25">
      <c r="A33" s="24" t="s">
        <v>56</v>
      </c>
      <c r="B33" s="25">
        <v>36724</v>
      </c>
      <c r="C33" s="18"/>
      <c r="D33" s="8"/>
      <c r="E33" s="18" t="s">
        <v>206</v>
      </c>
      <c r="F33" s="8">
        <f t="shared" si="8"/>
        <v>0.41743818756126783</v>
      </c>
      <c r="G33" s="18">
        <v>1982</v>
      </c>
      <c r="H33" s="8">
        <f t="shared" si="9"/>
        <v>0.12928897586431834</v>
      </c>
    </row>
    <row r="34" spans="1:8" ht="24.95" customHeight="1" x14ac:dyDescent="0.25">
      <c r="A34" s="24" t="s">
        <v>57</v>
      </c>
      <c r="B34" s="12">
        <v>1156</v>
      </c>
      <c r="C34" s="18">
        <v>100</v>
      </c>
      <c r="D34" s="8">
        <f>SUM(C34/B34)</f>
        <v>8.6505190311418678E-2</v>
      </c>
      <c r="E34" s="18">
        <v>528</v>
      </c>
      <c r="F34" s="8">
        <f t="shared" si="8"/>
        <v>0.45674740484429066</v>
      </c>
      <c r="G34" s="18">
        <v>94</v>
      </c>
      <c r="H34" s="8">
        <f t="shared" si="9"/>
        <v>0.17803030303030304</v>
      </c>
    </row>
    <row r="35" spans="1:8" ht="24.95" customHeight="1" x14ac:dyDescent="0.25">
      <c r="A35" s="24" t="s">
        <v>58</v>
      </c>
      <c r="B35" s="12">
        <v>1409</v>
      </c>
      <c r="C35" s="18">
        <v>150</v>
      </c>
      <c r="D35" s="8">
        <f>SUM(C35/B35)</f>
        <v>0.10645848119233499</v>
      </c>
      <c r="E35" s="18">
        <v>636</v>
      </c>
      <c r="F35" s="8">
        <f t="shared" si="8"/>
        <v>0.45138396025550037</v>
      </c>
      <c r="G35" s="18">
        <v>138</v>
      </c>
      <c r="H35" s="8">
        <f t="shared" si="9"/>
        <v>0.21698113207547171</v>
      </c>
    </row>
    <row r="36" spans="1:8" s="10" customFormat="1" ht="24.95" customHeight="1" x14ac:dyDescent="0.25">
      <c r="A36" s="24" t="s">
        <v>13</v>
      </c>
      <c r="B36" s="12">
        <v>675</v>
      </c>
      <c r="C36" s="18"/>
      <c r="D36" s="8"/>
      <c r="E36" s="18">
        <v>299</v>
      </c>
      <c r="F36" s="8">
        <f t="shared" si="8"/>
        <v>0.44296296296296295</v>
      </c>
      <c r="G36" s="18">
        <v>21</v>
      </c>
      <c r="H36" s="8">
        <f t="shared" si="9"/>
        <v>7.0234113712374577E-2</v>
      </c>
    </row>
    <row r="37" spans="1:8" ht="24.95" customHeight="1" x14ac:dyDescent="0.25">
      <c r="A37" s="24" t="s">
        <v>59</v>
      </c>
      <c r="B37" s="12">
        <v>3144</v>
      </c>
      <c r="C37" s="18"/>
      <c r="D37" s="8"/>
      <c r="E37" s="18">
        <v>1254</v>
      </c>
      <c r="F37" s="8">
        <f t="shared" si="8"/>
        <v>0.39885496183206109</v>
      </c>
      <c r="G37" s="18">
        <v>205</v>
      </c>
      <c r="H37" s="8">
        <f t="shared" ref="H37:H38" si="10">SUM(G37/E37)</f>
        <v>0.1634768740031898</v>
      </c>
    </row>
    <row r="38" spans="1:8" ht="24.95" customHeight="1" x14ac:dyDescent="0.25">
      <c r="A38" s="24" t="s">
        <v>195</v>
      </c>
      <c r="B38" s="12">
        <v>1074</v>
      </c>
      <c r="C38" s="18">
        <v>84</v>
      </c>
      <c r="D38" s="8">
        <f>SUM(C38/B38)</f>
        <v>7.8212290502793297E-2</v>
      </c>
      <c r="E38" s="18">
        <v>373</v>
      </c>
      <c r="F38" s="8">
        <f t="shared" si="8"/>
        <v>0.3472998137802607</v>
      </c>
      <c r="G38" s="18">
        <v>35</v>
      </c>
      <c r="H38" s="8">
        <f t="shared" si="10"/>
        <v>9.3833780160857902E-2</v>
      </c>
    </row>
    <row r="39" spans="1:8" ht="24.95" customHeight="1" x14ac:dyDescent="0.25">
      <c r="A39" s="24" t="s">
        <v>185</v>
      </c>
      <c r="B39" s="12">
        <v>710</v>
      </c>
      <c r="C39" s="18">
        <v>89</v>
      </c>
      <c r="D39" s="8">
        <f>SUM(C39/B39)</f>
        <v>0.12535211267605634</v>
      </c>
      <c r="E39" s="18"/>
      <c r="F39" s="8"/>
      <c r="G39" s="18"/>
      <c r="H39" s="8"/>
    </row>
    <row r="40" spans="1:8" ht="24.95" customHeight="1" x14ac:dyDescent="0.25">
      <c r="A40" s="24" t="s">
        <v>60</v>
      </c>
      <c r="B40" s="12">
        <v>3344</v>
      </c>
      <c r="C40" s="18">
        <v>129</v>
      </c>
      <c r="D40" s="8">
        <f>SUM(C40/B40)</f>
        <v>3.8576555023923445E-2</v>
      </c>
      <c r="E40" s="18"/>
      <c r="F40" s="8"/>
      <c r="G40" s="18">
        <v>296</v>
      </c>
      <c r="H40" s="8"/>
    </row>
    <row r="41" spans="1:8" ht="24.95" customHeight="1" x14ac:dyDescent="0.25">
      <c r="A41" s="24" t="s">
        <v>61</v>
      </c>
      <c r="B41" s="12">
        <v>956</v>
      </c>
      <c r="C41" s="18">
        <v>96</v>
      </c>
      <c r="D41" s="8">
        <f t="shared" ref="D41:D42" si="11">SUM(C41/B41)</f>
        <v>0.100418410041841</v>
      </c>
      <c r="E41" s="18"/>
      <c r="F41" s="8"/>
      <c r="G41" s="18"/>
      <c r="H41" s="8"/>
    </row>
    <row r="42" spans="1:8" ht="24.95" customHeight="1" x14ac:dyDescent="0.25">
      <c r="A42" s="24" t="s">
        <v>62</v>
      </c>
      <c r="B42" s="12">
        <v>2312</v>
      </c>
      <c r="C42" s="18">
        <v>75</v>
      </c>
      <c r="D42" s="8">
        <f t="shared" si="11"/>
        <v>3.2439446366782004E-2</v>
      </c>
      <c r="E42" s="18">
        <v>909</v>
      </c>
      <c r="F42" s="8">
        <f t="shared" ref="F42:F53" si="12">SUM(E42/B42)</f>
        <v>0.39316608996539792</v>
      </c>
      <c r="G42" s="18">
        <v>76</v>
      </c>
      <c r="H42" s="8">
        <f>SUM(G42/E42)</f>
        <v>8.3608360836083612E-2</v>
      </c>
    </row>
    <row r="43" spans="1:8" ht="24.95" customHeight="1" x14ac:dyDescent="0.25">
      <c r="A43" s="24" t="s">
        <v>63</v>
      </c>
      <c r="B43" s="12">
        <v>1092</v>
      </c>
      <c r="C43" s="18"/>
      <c r="D43" s="8"/>
      <c r="E43" s="18">
        <v>496</v>
      </c>
      <c r="F43" s="8">
        <f t="shared" si="12"/>
        <v>0.45421245421245421</v>
      </c>
      <c r="G43" s="18">
        <v>53</v>
      </c>
      <c r="H43" s="8">
        <f>SUM(G43/E43)</f>
        <v>0.10685483870967742</v>
      </c>
    </row>
    <row r="44" spans="1:8" ht="24.95" customHeight="1" x14ac:dyDescent="0.25">
      <c r="A44" s="24" t="s">
        <v>64</v>
      </c>
      <c r="B44" s="12">
        <v>2012</v>
      </c>
      <c r="C44" s="18"/>
      <c r="D44" s="8"/>
      <c r="E44" s="18">
        <v>656</v>
      </c>
      <c r="F44" s="8">
        <f t="shared" si="12"/>
        <v>0.32604373757455268</v>
      </c>
      <c r="G44" s="18">
        <v>65</v>
      </c>
      <c r="H44" s="8">
        <f>SUM(G44/E44)</f>
        <v>9.9085365853658541E-2</v>
      </c>
    </row>
    <row r="45" spans="1:8" ht="24.95" customHeight="1" x14ac:dyDescent="0.25">
      <c r="A45" s="24" t="s">
        <v>65</v>
      </c>
      <c r="B45" s="12">
        <v>11518</v>
      </c>
      <c r="C45" s="18"/>
      <c r="D45" s="8"/>
      <c r="E45" s="18">
        <v>4667</v>
      </c>
      <c r="F45" s="8">
        <f t="shared" si="12"/>
        <v>0.40519187358916481</v>
      </c>
      <c r="G45" s="18">
        <v>1067</v>
      </c>
      <c r="H45" s="8">
        <f>SUM(G45/E45)</f>
        <v>0.22862652667666594</v>
      </c>
    </row>
    <row r="46" spans="1:8" ht="24.95" customHeight="1" x14ac:dyDescent="0.25">
      <c r="A46" s="24" t="s">
        <v>66</v>
      </c>
      <c r="B46" s="12">
        <v>860</v>
      </c>
      <c r="C46" s="18"/>
      <c r="D46" s="8"/>
      <c r="E46" s="18">
        <v>310</v>
      </c>
      <c r="F46" s="8">
        <f t="shared" si="12"/>
        <v>0.36046511627906974</v>
      </c>
      <c r="G46" s="18">
        <v>42</v>
      </c>
      <c r="H46" s="8">
        <f>SUM(G46/E46)</f>
        <v>0.13548387096774195</v>
      </c>
    </row>
    <row r="47" spans="1:8" ht="24.95" customHeight="1" x14ac:dyDescent="0.25">
      <c r="A47" s="24" t="s">
        <v>67</v>
      </c>
      <c r="B47" s="12">
        <v>1036</v>
      </c>
      <c r="C47" s="18"/>
      <c r="D47" s="8"/>
      <c r="E47" s="18">
        <v>355</v>
      </c>
      <c r="F47" s="8">
        <f t="shared" si="12"/>
        <v>0.34266409266409265</v>
      </c>
      <c r="G47" s="18"/>
      <c r="H47" s="8"/>
    </row>
    <row r="48" spans="1:8" ht="24.95" customHeight="1" x14ac:dyDescent="0.25">
      <c r="A48" s="24" t="s">
        <v>68</v>
      </c>
      <c r="B48" s="12">
        <v>1013</v>
      </c>
      <c r="C48" s="18">
        <v>90</v>
      </c>
      <c r="D48" s="8">
        <f>SUM(C48/B48)</f>
        <v>8.8845014807502468E-2</v>
      </c>
      <c r="E48" s="18">
        <v>522</v>
      </c>
      <c r="F48" s="8">
        <f t="shared" si="12"/>
        <v>0.51530108588351431</v>
      </c>
      <c r="G48" s="18">
        <v>57</v>
      </c>
      <c r="H48" s="8">
        <f t="shared" ref="H48" si="13">SUM(G48/E48)</f>
        <v>0.10919540229885058</v>
      </c>
    </row>
    <row r="49" spans="1:8" ht="24.95" customHeight="1" x14ac:dyDescent="0.25">
      <c r="A49" s="24" t="s">
        <v>190</v>
      </c>
      <c r="B49" s="12">
        <v>772</v>
      </c>
      <c r="C49" s="18">
        <v>114</v>
      </c>
      <c r="D49" s="8">
        <f>SUM(C49/B49)</f>
        <v>0.14766839378238342</v>
      </c>
      <c r="E49" s="18">
        <v>218</v>
      </c>
      <c r="F49" s="8">
        <f t="shared" si="12"/>
        <v>0.28238341968911918</v>
      </c>
      <c r="G49" s="18">
        <v>14</v>
      </c>
      <c r="H49" s="8">
        <f>SUM(G49/E49)</f>
        <v>6.4220183486238536E-2</v>
      </c>
    </row>
    <row r="50" spans="1:8" ht="24.95" customHeight="1" x14ac:dyDescent="0.25">
      <c r="A50" s="24" t="s">
        <v>178</v>
      </c>
      <c r="B50" s="12">
        <v>916</v>
      </c>
      <c r="C50" s="18">
        <v>54</v>
      </c>
      <c r="D50" s="8">
        <f>SUM(C50/B50)</f>
        <v>5.8951965065502182E-2</v>
      </c>
      <c r="E50" s="18">
        <v>422</v>
      </c>
      <c r="F50" s="8">
        <f t="shared" si="12"/>
        <v>0.4606986899563319</v>
      </c>
      <c r="G50" s="18">
        <v>119</v>
      </c>
      <c r="H50" s="8">
        <f>SUM(G50/E50)</f>
        <v>0.28199052132701424</v>
      </c>
    </row>
    <row r="51" spans="1:8" ht="24.95" customHeight="1" x14ac:dyDescent="0.25">
      <c r="A51" s="24" t="s">
        <v>69</v>
      </c>
      <c r="B51" s="12">
        <v>1780</v>
      </c>
      <c r="C51" s="18">
        <v>239</v>
      </c>
      <c r="D51" s="8">
        <f>SUM(C51/B51)</f>
        <v>0.13426966292134832</v>
      </c>
      <c r="E51" s="18">
        <v>662</v>
      </c>
      <c r="F51" s="8">
        <f t="shared" si="12"/>
        <v>0.37191011235955057</v>
      </c>
      <c r="G51" s="18">
        <v>97</v>
      </c>
      <c r="H51" s="8">
        <f>SUM(G51/E51)</f>
        <v>0.14652567975830816</v>
      </c>
    </row>
    <row r="52" spans="1:8" ht="24.95" customHeight="1" x14ac:dyDescent="0.25">
      <c r="A52" s="24" t="s">
        <v>70</v>
      </c>
      <c r="B52" s="12">
        <v>3442</v>
      </c>
      <c r="C52" s="18">
        <v>80</v>
      </c>
      <c r="D52" s="8">
        <f>SUM(C52/B52)</f>
        <v>2.3242300987797792E-2</v>
      </c>
      <c r="E52" s="18">
        <v>1026</v>
      </c>
      <c r="F52" s="8">
        <f t="shared" si="12"/>
        <v>0.29808251016850668</v>
      </c>
      <c r="G52" s="18">
        <v>182</v>
      </c>
      <c r="H52" s="8">
        <f>SUM(G52/E52)</f>
        <v>0.17738791423001948</v>
      </c>
    </row>
    <row r="53" spans="1:8" ht="24.95" customHeight="1" x14ac:dyDescent="0.25">
      <c r="A53" s="24" t="s">
        <v>14</v>
      </c>
      <c r="B53" s="12">
        <v>1733</v>
      </c>
      <c r="C53" s="18"/>
      <c r="D53" s="8"/>
      <c r="E53" s="18">
        <v>751</v>
      </c>
      <c r="F53" s="8">
        <f t="shared" si="12"/>
        <v>0.43335256780150028</v>
      </c>
      <c r="G53" s="18">
        <v>64</v>
      </c>
      <c r="H53" s="8">
        <f>SUM(G53/E53)</f>
        <v>8.5219707057256996E-2</v>
      </c>
    </row>
    <row r="54" spans="1:8" ht="24.95" customHeight="1" x14ac:dyDescent="0.25">
      <c r="A54" s="24" t="s">
        <v>71</v>
      </c>
      <c r="B54" s="12">
        <v>1157</v>
      </c>
      <c r="C54" s="18">
        <v>120</v>
      </c>
      <c r="D54" s="8">
        <f>SUM(C54/B54)</f>
        <v>0.10371650821089023</v>
      </c>
      <c r="E54" s="18"/>
      <c r="F54" s="8"/>
      <c r="G54" s="18"/>
      <c r="H54" s="8"/>
    </row>
    <row r="55" spans="1:8" ht="24.95" customHeight="1" x14ac:dyDescent="0.25">
      <c r="A55" s="24" t="s">
        <v>179</v>
      </c>
      <c r="B55" s="12">
        <v>199</v>
      </c>
      <c r="C55" s="18"/>
      <c r="D55" s="8"/>
      <c r="E55" s="18">
        <v>72</v>
      </c>
      <c r="F55" s="8">
        <f t="shared" ref="F55" si="14">SUM(E55/B55)</f>
        <v>0.36180904522613067</v>
      </c>
      <c r="G55" s="18">
        <v>6</v>
      </c>
      <c r="H55" s="8">
        <f t="shared" ref="H55" si="15">SUM(G55/E55)</f>
        <v>8.3333333333333329E-2</v>
      </c>
    </row>
    <row r="56" spans="1:8" ht="24.95" customHeight="1" x14ac:dyDescent="0.25">
      <c r="A56" s="24" t="s">
        <v>72</v>
      </c>
      <c r="B56" s="12">
        <v>2245</v>
      </c>
      <c r="C56" s="18">
        <v>161</v>
      </c>
      <c r="D56" s="8">
        <f t="shared" ref="D56:D57" si="16">SUM(C56/B56)</f>
        <v>7.1714922048997778E-2</v>
      </c>
      <c r="E56" s="18">
        <v>1040</v>
      </c>
      <c r="F56" s="8">
        <f>SUM(E56/B56)</f>
        <v>0.46325167037861914</v>
      </c>
      <c r="G56" s="18">
        <v>190</v>
      </c>
      <c r="H56" s="8">
        <f>SUM(G56/E56)</f>
        <v>0.18269230769230768</v>
      </c>
    </row>
    <row r="57" spans="1:8" ht="24.95" customHeight="1" x14ac:dyDescent="0.25">
      <c r="A57" s="24" t="s">
        <v>73</v>
      </c>
      <c r="B57" s="12">
        <v>881</v>
      </c>
      <c r="C57" s="18">
        <v>106</v>
      </c>
      <c r="D57" s="8">
        <f t="shared" si="16"/>
        <v>0.12031782065834279</v>
      </c>
      <c r="E57" s="18"/>
      <c r="F57" s="8"/>
      <c r="G57" s="18"/>
      <c r="H57" s="8"/>
    </row>
    <row r="58" spans="1:8" ht="24.95" customHeight="1" x14ac:dyDescent="0.25">
      <c r="A58" s="24" t="s">
        <v>74</v>
      </c>
      <c r="B58" s="12">
        <v>744</v>
      </c>
      <c r="C58" s="18">
        <v>75</v>
      </c>
      <c r="D58" s="8">
        <f>SUM(C58/B58)</f>
        <v>0.10080645161290322</v>
      </c>
      <c r="E58" s="18">
        <v>350</v>
      </c>
      <c r="F58" s="8">
        <f t="shared" ref="F58:F59" si="17">SUM(E58/B58)</f>
        <v>0.47043010752688175</v>
      </c>
      <c r="G58" s="18">
        <v>33</v>
      </c>
      <c r="H58" s="8"/>
    </row>
    <row r="59" spans="1:8" ht="24.95" customHeight="1" x14ac:dyDescent="0.25">
      <c r="A59" s="24" t="s">
        <v>191</v>
      </c>
      <c r="B59" s="12">
        <v>16627</v>
      </c>
      <c r="C59" s="18">
        <v>300</v>
      </c>
      <c r="D59" s="8">
        <f>SUM(C59/B59)</f>
        <v>1.8042942202441813E-2</v>
      </c>
      <c r="E59" s="18">
        <v>6969</v>
      </c>
      <c r="F59" s="8">
        <f t="shared" si="17"/>
        <v>0.4191375473627233</v>
      </c>
      <c r="G59" s="18">
        <v>1455</v>
      </c>
      <c r="H59" s="8">
        <f>SUM(G59/E59)</f>
        <v>0.20878174773999139</v>
      </c>
    </row>
    <row r="60" spans="1:8" ht="24.95" customHeight="1" x14ac:dyDescent="0.25">
      <c r="A60" s="24" t="s">
        <v>15</v>
      </c>
      <c r="B60" s="12">
        <v>1800</v>
      </c>
      <c r="C60" s="18"/>
      <c r="D60" s="8"/>
      <c r="E60" s="18">
        <v>875</v>
      </c>
      <c r="F60" s="8">
        <f>SUM(E60/B60)</f>
        <v>0.4861111111111111</v>
      </c>
      <c r="G60" s="18">
        <v>75</v>
      </c>
      <c r="H60" s="8">
        <f>SUM(G60/E60)</f>
        <v>8.5714285714285715E-2</v>
      </c>
    </row>
    <row r="61" spans="1:8" ht="24.95" customHeight="1" x14ac:dyDescent="0.25">
      <c r="A61" s="24" t="s">
        <v>16</v>
      </c>
      <c r="B61" s="12">
        <v>4007</v>
      </c>
      <c r="C61" s="18"/>
      <c r="D61" s="8"/>
      <c r="E61" s="18">
        <v>1529</v>
      </c>
      <c r="F61" s="8">
        <f>SUM(E61/B61)</f>
        <v>0.38158223109558276</v>
      </c>
      <c r="G61" s="18">
        <v>145</v>
      </c>
      <c r="H61" s="8">
        <f>SUM(G61/E61)</f>
        <v>9.4833224329627208E-2</v>
      </c>
    </row>
    <row r="62" spans="1:8" ht="24.95" customHeight="1" x14ac:dyDescent="0.25">
      <c r="A62" s="24" t="s">
        <v>75</v>
      </c>
      <c r="B62" s="12">
        <v>1419</v>
      </c>
      <c r="C62" s="18"/>
      <c r="D62" s="8"/>
      <c r="E62" s="18">
        <v>426</v>
      </c>
      <c r="F62" s="8">
        <f>SUM(E62/B62)</f>
        <v>0.30021141649048627</v>
      </c>
      <c r="G62" s="18">
        <v>40</v>
      </c>
      <c r="H62" s="8">
        <f>SUM(G62/E62)</f>
        <v>9.3896713615023469E-2</v>
      </c>
    </row>
    <row r="63" spans="1:8" ht="24.95" customHeight="1" x14ac:dyDescent="0.25">
      <c r="A63" s="24" t="s">
        <v>76</v>
      </c>
      <c r="B63" s="12">
        <v>79</v>
      </c>
      <c r="C63" s="18">
        <v>75</v>
      </c>
      <c r="D63" s="8">
        <f>SUM(C63/B63)</f>
        <v>0.94936708860759489</v>
      </c>
      <c r="E63" s="18"/>
      <c r="F63" s="8"/>
      <c r="G63" s="18"/>
      <c r="H63" s="8"/>
    </row>
    <row r="64" spans="1:8" ht="24.95" customHeight="1" x14ac:dyDescent="0.25">
      <c r="A64" s="24" t="s">
        <v>180</v>
      </c>
      <c r="B64" s="12">
        <v>1264</v>
      </c>
      <c r="C64" s="18">
        <v>100</v>
      </c>
      <c r="D64" s="8">
        <f>SUM(C64/B64)</f>
        <v>7.9113924050632917E-2</v>
      </c>
      <c r="E64" s="18"/>
      <c r="F64" s="8"/>
      <c r="G64" s="18"/>
      <c r="H64" s="8"/>
    </row>
    <row r="65" spans="1:8" ht="24.95" customHeight="1" x14ac:dyDescent="0.25">
      <c r="A65" s="24" t="s">
        <v>77</v>
      </c>
      <c r="B65" s="12">
        <v>956</v>
      </c>
      <c r="C65" s="18"/>
      <c r="D65" s="8"/>
      <c r="E65" s="18">
        <v>301</v>
      </c>
      <c r="F65" s="8">
        <f t="shared" ref="F65:F67" si="18">SUM(E65/B65)</f>
        <v>0.31485355648535562</v>
      </c>
      <c r="G65" s="18">
        <v>50</v>
      </c>
      <c r="H65" s="8">
        <f t="shared" ref="H65:H67" si="19">SUM(G65/E65)</f>
        <v>0.16611295681063123</v>
      </c>
    </row>
    <row r="66" spans="1:8" ht="24.95" customHeight="1" x14ac:dyDescent="0.25">
      <c r="A66" s="24" t="s">
        <v>78</v>
      </c>
      <c r="B66" s="12">
        <v>3816</v>
      </c>
      <c r="C66" s="18"/>
      <c r="D66" s="8"/>
      <c r="E66" s="18">
        <v>2499</v>
      </c>
      <c r="F66" s="8">
        <f t="shared" si="18"/>
        <v>0.65487421383647804</v>
      </c>
      <c r="G66" s="18">
        <v>288</v>
      </c>
      <c r="H66" s="8">
        <f t="shared" si="19"/>
        <v>0.11524609843937575</v>
      </c>
    </row>
    <row r="67" spans="1:8" ht="24.95" customHeight="1" x14ac:dyDescent="0.25">
      <c r="A67" s="24" t="s">
        <v>79</v>
      </c>
      <c r="B67" s="12">
        <v>160</v>
      </c>
      <c r="C67" s="18">
        <v>31</v>
      </c>
      <c r="D67" s="8">
        <f t="shared" ref="D67:D72" si="20">SUM(C67/B67)</f>
        <v>0.19375000000000001</v>
      </c>
      <c r="E67" s="18">
        <v>94</v>
      </c>
      <c r="F67" s="8">
        <f t="shared" si="18"/>
        <v>0.58750000000000002</v>
      </c>
      <c r="G67" s="18">
        <v>8</v>
      </c>
      <c r="H67" s="8">
        <f t="shared" si="19"/>
        <v>8.5106382978723402E-2</v>
      </c>
    </row>
    <row r="68" spans="1:8" ht="24.95" customHeight="1" x14ac:dyDescent="0.25">
      <c r="A68" s="24" t="s">
        <v>17</v>
      </c>
      <c r="B68" s="12">
        <v>506</v>
      </c>
      <c r="C68" s="18">
        <v>69</v>
      </c>
      <c r="D68" s="8">
        <f t="shared" si="20"/>
        <v>0.13636363636363635</v>
      </c>
      <c r="E68" s="18">
        <v>280</v>
      </c>
      <c r="F68" s="8">
        <f>SUM(E68/B68)</f>
        <v>0.55335968379446643</v>
      </c>
      <c r="G68" s="18">
        <v>31</v>
      </c>
      <c r="H68" s="8">
        <f>SUM(G68/E68)</f>
        <v>0.11071428571428571</v>
      </c>
    </row>
    <row r="69" spans="1:8" ht="24.95" customHeight="1" x14ac:dyDescent="0.25">
      <c r="A69" s="24" t="s">
        <v>80</v>
      </c>
      <c r="B69" s="12">
        <v>54</v>
      </c>
      <c r="C69" s="18">
        <v>12</v>
      </c>
      <c r="D69" s="8">
        <f t="shared" si="20"/>
        <v>0.22222222222222221</v>
      </c>
      <c r="E69" s="18"/>
      <c r="F69" s="8"/>
      <c r="G69" s="18"/>
      <c r="H69" s="8"/>
    </row>
    <row r="70" spans="1:8" ht="24.95" customHeight="1" x14ac:dyDescent="0.25">
      <c r="A70" s="24" t="s">
        <v>205</v>
      </c>
      <c r="B70" s="12">
        <v>246</v>
      </c>
      <c r="C70" s="18">
        <v>45</v>
      </c>
      <c r="D70" s="8">
        <f t="shared" si="20"/>
        <v>0.18292682926829268</v>
      </c>
      <c r="E70" s="18"/>
      <c r="F70" s="8"/>
      <c r="G70" s="18"/>
      <c r="H70" s="8"/>
    </row>
    <row r="71" spans="1:8" ht="24.95" customHeight="1" x14ac:dyDescent="0.25">
      <c r="A71" s="24" t="s">
        <v>81</v>
      </c>
      <c r="B71" s="12">
        <v>589</v>
      </c>
      <c r="C71" s="18">
        <v>160</v>
      </c>
      <c r="D71" s="8">
        <f t="shared" si="20"/>
        <v>0.27164685908319186</v>
      </c>
      <c r="E71" s="18"/>
      <c r="F71" s="8"/>
      <c r="G71" s="18"/>
      <c r="H71" s="8"/>
    </row>
    <row r="72" spans="1:8" ht="24.95" customHeight="1" x14ac:dyDescent="0.25">
      <c r="A72" s="24" t="s">
        <v>18</v>
      </c>
      <c r="B72" s="12">
        <v>749</v>
      </c>
      <c r="C72" s="18">
        <v>90</v>
      </c>
      <c r="D72" s="8">
        <f t="shared" si="20"/>
        <v>0.12016021361815754</v>
      </c>
      <c r="E72" s="18"/>
      <c r="F72" s="8"/>
      <c r="G72" s="18"/>
      <c r="H72" s="8"/>
    </row>
    <row r="73" spans="1:8" ht="24.95" customHeight="1" x14ac:dyDescent="0.25">
      <c r="A73" s="24" t="s">
        <v>82</v>
      </c>
      <c r="B73" s="12">
        <v>192</v>
      </c>
      <c r="C73" s="18">
        <v>41</v>
      </c>
      <c r="D73" s="8">
        <f t="shared" ref="D73" si="21">SUM(C73/B73)</f>
        <v>0.21354166666666666</v>
      </c>
      <c r="E73" s="18">
        <v>91</v>
      </c>
      <c r="F73" s="8">
        <f>SUM(E73/B73)</f>
        <v>0.47395833333333331</v>
      </c>
      <c r="G73" s="18">
        <v>6</v>
      </c>
      <c r="H73" s="8">
        <f>SUM(G73/E73)</f>
        <v>6.5934065934065936E-2</v>
      </c>
    </row>
    <row r="74" spans="1:8" s="10" customFormat="1" ht="24.95" customHeight="1" x14ac:dyDescent="0.25">
      <c r="A74" s="24" t="s">
        <v>83</v>
      </c>
      <c r="B74" s="12">
        <v>1770</v>
      </c>
      <c r="C74" s="18"/>
      <c r="D74" s="8"/>
      <c r="E74" s="18">
        <v>711</v>
      </c>
      <c r="F74" s="8">
        <f>SUM(E74/B74)</f>
        <v>0.40169491525423728</v>
      </c>
      <c r="G74" s="18">
        <v>123</v>
      </c>
      <c r="H74" s="8">
        <f>SUM(G74/E74)</f>
        <v>0.1729957805907173</v>
      </c>
    </row>
    <row r="75" spans="1:8" ht="24.95" customHeight="1" x14ac:dyDescent="0.25">
      <c r="A75" s="24" t="s">
        <v>196</v>
      </c>
      <c r="B75" s="12">
        <v>580</v>
      </c>
      <c r="C75" s="18">
        <v>75</v>
      </c>
      <c r="D75" s="8">
        <f>SUM(C75/B75)</f>
        <v>0.12931034482758622</v>
      </c>
      <c r="E75" s="18">
        <v>290</v>
      </c>
      <c r="F75" s="8">
        <f>SUM(E75/B75)</f>
        <v>0.5</v>
      </c>
      <c r="G75" s="18">
        <v>49</v>
      </c>
      <c r="H75" s="8">
        <f>SUM(G75/E75)</f>
        <v>0.16896551724137931</v>
      </c>
    </row>
    <row r="76" spans="1:8" ht="24.95" customHeight="1" x14ac:dyDescent="0.25">
      <c r="A76" s="24" t="s">
        <v>19</v>
      </c>
      <c r="B76" s="12">
        <v>296</v>
      </c>
      <c r="C76" s="18">
        <v>30</v>
      </c>
      <c r="D76" s="8">
        <f>SUM(C76/B76)</f>
        <v>0.10135135135135136</v>
      </c>
      <c r="E76" s="18"/>
      <c r="F76" s="8"/>
      <c r="G76" s="18"/>
      <c r="H76" s="8"/>
    </row>
    <row r="77" spans="1:8" ht="24.95" customHeight="1" x14ac:dyDescent="0.25">
      <c r="A77" s="24" t="s">
        <v>84</v>
      </c>
      <c r="B77" s="12">
        <v>9599</v>
      </c>
      <c r="C77" s="18"/>
      <c r="D77" s="8"/>
      <c r="E77" s="18">
        <v>3396</v>
      </c>
      <c r="F77" s="8">
        <f t="shared" ref="F77:F85" si="22">SUM(E77/B77)</f>
        <v>0.35378685279716637</v>
      </c>
      <c r="G77" s="18">
        <v>424</v>
      </c>
      <c r="H77" s="8">
        <f t="shared" ref="H77:H85" si="23">SUM(G77/E77)</f>
        <v>0.1248527679623086</v>
      </c>
    </row>
    <row r="78" spans="1:8" ht="24.95" customHeight="1" x14ac:dyDescent="0.25">
      <c r="A78" s="24" t="s">
        <v>85</v>
      </c>
      <c r="B78" s="12">
        <v>2714</v>
      </c>
      <c r="C78" s="18">
        <v>170</v>
      </c>
      <c r="D78" s="8">
        <f>SUM(C78/B78)</f>
        <v>6.2638172439204123E-2</v>
      </c>
      <c r="E78" s="18">
        <v>1176</v>
      </c>
      <c r="F78" s="8">
        <f t="shared" si="22"/>
        <v>0.43330876934414148</v>
      </c>
      <c r="G78" s="18">
        <v>102</v>
      </c>
      <c r="H78" s="8">
        <f t="shared" si="23"/>
        <v>8.673469387755102E-2</v>
      </c>
    </row>
    <row r="79" spans="1:8" ht="24.95" customHeight="1" x14ac:dyDescent="0.25">
      <c r="A79" s="24" t="s">
        <v>20</v>
      </c>
      <c r="B79" s="12">
        <v>2270</v>
      </c>
      <c r="C79" s="18">
        <v>85</v>
      </c>
      <c r="D79" s="8">
        <f>SUM(C79/B79)</f>
        <v>3.7444933920704845E-2</v>
      </c>
      <c r="E79" s="18">
        <v>688</v>
      </c>
      <c r="F79" s="8">
        <f t="shared" si="22"/>
        <v>0.30308370044052863</v>
      </c>
      <c r="G79" s="18">
        <v>103</v>
      </c>
      <c r="H79" s="8">
        <f t="shared" si="23"/>
        <v>0.14970930232558138</v>
      </c>
    </row>
    <row r="80" spans="1:8" ht="24.95" customHeight="1" x14ac:dyDescent="0.25">
      <c r="A80" s="24" t="s">
        <v>86</v>
      </c>
      <c r="B80" s="12">
        <v>4103</v>
      </c>
      <c r="C80" s="18"/>
      <c r="D80" s="8"/>
      <c r="E80" s="18">
        <v>1947</v>
      </c>
      <c r="F80" s="8">
        <f t="shared" si="22"/>
        <v>0.47453083109919569</v>
      </c>
      <c r="G80" s="18">
        <v>416</v>
      </c>
      <c r="H80" s="8">
        <f t="shared" si="23"/>
        <v>0.21366204417051873</v>
      </c>
    </row>
    <row r="81" spans="1:8" ht="24.95" customHeight="1" x14ac:dyDescent="0.25">
      <c r="A81" s="24" t="s">
        <v>87</v>
      </c>
      <c r="B81" s="12">
        <v>435</v>
      </c>
      <c r="C81" s="18">
        <v>57</v>
      </c>
      <c r="D81" s="8">
        <f>SUM(C81/B81)</f>
        <v>0.1310344827586207</v>
      </c>
      <c r="E81" s="18">
        <v>130</v>
      </c>
      <c r="F81" s="8">
        <f t="shared" si="22"/>
        <v>0.2988505747126437</v>
      </c>
      <c r="G81" s="18">
        <v>13</v>
      </c>
      <c r="H81" s="8">
        <f t="shared" si="23"/>
        <v>0.1</v>
      </c>
    </row>
    <row r="82" spans="1:8" ht="24.95" customHeight="1" x14ac:dyDescent="0.25">
      <c r="A82" s="24" t="s">
        <v>88</v>
      </c>
      <c r="B82" s="12">
        <v>540</v>
      </c>
      <c r="C82" s="18">
        <v>77</v>
      </c>
      <c r="D82" s="8">
        <f>SUM(C82/B82)</f>
        <v>0.1425925925925926</v>
      </c>
      <c r="E82" s="18">
        <v>225</v>
      </c>
      <c r="F82" s="8">
        <f t="shared" si="22"/>
        <v>0.41666666666666669</v>
      </c>
      <c r="G82" s="18">
        <v>18</v>
      </c>
      <c r="H82" s="8">
        <f t="shared" si="23"/>
        <v>0.08</v>
      </c>
    </row>
    <row r="83" spans="1:8" ht="24.95" customHeight="1" x14ac:dyDescent="0.25">
      <c r="A83" s="24" t="s">
        <v>21</v>
      </c>
      <c r="B83" s="12">
        <v>1638</v>
      </c>
      <c r="C83" s="18"/>
      <c r="D83" s="8"/>
      <c r="E83" s="18">
        <v>835</v>
      </c>
      <c r="F83" s="8">
        <f t="shared" si="22"/>
        <v>0.50976800976800973</v>
      </c>
      <c r="G83" s="18">
        <v>84</v>
      </c>
      <c r="H83" s="8">
        <f t="shared" si="23"/>
        <v>0.10059880239520957</v>
      </c>
    </row>
    <row r="84" spans="1:8" ht="24.95" customHeight="1" x14ac:dyDescent="0.25">
      <c r="A84" s="24" t="s">
        <v>89</v>
      </c>
      <c r="B84" s="12">
        <v>2277</v>
      </c>
      <c r="C84" s="18">
        <v>160</v>
      </c>
      <c r="D84" s="8">
        <f t="shared" ref="D84:D90" si="24">SUM(C84/B84)</f>
        <v>7.026789635485288E-2</v>
      </c>
      <c r="E84" s="18">
        <v>761</v>
      </c>
      <c r="F84" s="8">
        <f t="shared" si="22"/>
        <v>0.33421168203776902</v>
      </c>
      <c r="G84" s="18">
        <v>133</v>
      </c>
      <c r="H84" s="8">
        <f t="shared" si="23"/>
        <v>0.17477003942181341</v>
      </c>
    </row>
    <row r="85" spans="1:8" ht="24.95" customHeight="1" x14ac:dyDescent="0.25">
      <c r="A85" s="24" t="s">
        <v>211</v>
      </c>
      <c r="B85" s="12">
        <v>303</v>
      </c>
      <c r="C85" s="18">
        <v>35</v>
      </c>
      <c r="D85" s="8">
        <f t="shared" si="24"/>
        <v>0.11551155115511551</v>
      </c>
      <c r="E85" s="18">
        <v>126</v>
      </c>
      <c r="F85" s="8">
        <f t="shared" si="22"/>
        <v>0.41584158415841582</v>
      </c>
      <c r="G85" s="18">
        <v>9</v>
      </c>
      <c r="H85" s="8">
        <f t="shared" si="23"/>
        <v>7.1428571428571425E-2</v>
      </c>
    </row>
    <row r="86" spans="1:8" ht="24.95" customHeight="1" x14ac:dyDescent="0.25">
      <c r="A86" s="24" t="s">
        <v>90</v>
      </c>
      <c r="B86" s="12">
        <v>820</v>
      </c>
      <c r="C86" s="18">
        <v>130</v>
      </c>
      <c r="D86" s="8">
        <f t="shared" si="24"/>
        <v>0.15853658536585366</v>
      </c>
      <c r="E86" s="18"/>
      <c r="F86" s="8"/>
      <c r="G86" s="18"/>
      <c r="H86" s="8"/>
    </row>
    <row r="87" spans="1:8" ht="24.95" customHeight="1" x14ac:dyDescent="0.25">
      <c r="A87" s="24" t="s">
        <v>212</v>
      </c>
      <c r="B87" s="12">
        <v>749</v>
      </c>
      <c r="C87" s="18">
        <v>91</v>
      </c>
      <c r="D87" s="8">
        <f t="shared" si="24"/>
        <v>0.12149532710280374</v>
      </c>
      <c r="E87" s="18"/>
      <c r="F87" s="8"/>
      <c r="G87" s="18"/>
      <c r="H87" s="8"/>
    </row>
    <row r="88" spans="1:8" ht="24.95" customHeight="1" x14ac:dyDescent="0.25">
      <c r="A88" s="24" t="s">
        <v>91</v>
      </c>
      <c r="B88" s="12">
        <v>387</v>
      </c>
      <c r="C88" s="18">
        <v>34</v>
      </c>
      <c r="D88" s="8">
        <f t="shared" si="24"/>
        <v>8.7855297157622733E-2</v>
      </c>
      <c r="E88" s="18">
        <v>102</v>
      </c>
      <c r="F88" s="8">
        <f>SUM(E88/B88)</f>
        <v>0.26356589147286824</v>
      </c>
      <c r="G88" s="18">
        <v>5</v>
      </c>
      <c r="H88" s="8">
        <f t="shared" ref="H88" si="25">SUM(G88/E88)</f>
        <v>4.9019607843137254E-2</v>
      </c>
    </row>
    <row r="89" spans="1:8" ht="24.95" customHeight="1" x14ac:dyDescent="0.25">
      <c r="A89" s="24" t="s">
        <v>92</v>
      </c>
      <c r="B89" s="12" t="s">
        <v>199</v>
      </c>
      <c r="C89" s="18">
        <v>300</v>
      </c>
      <c r="D89" s="8">
        <f t="shared" si="24"/>
        <v>6.9220119981541303E-2</v>
      </c>
      <c r="E89" s="18" t="s">
        <v>207</v>
      </c>
      <c r="F89" s="8">
        <f>SUM(E89/B89)</f>
        <v>0.44993077988001845</v>
      </c>
      <c r="G89" s="18">
        <v>358</v>
      </c>
      <c r="H89" s="8">
        <f>SUM(G89/E89)</f>
        <v>0.18358974358974359</v>
      </c>
    </row>
    <row r="90" spans="1:8" ht="24.95" customHeight="1" x14ac:dyDescent="0.25">
      <c r="A90" s="24" t="s">
        <v>93</v>
      </c>
      <c r="B90" s="12">
        <v>2135</v>
      </c>
      <c r="C90" s="18">
        <v>150</v>
      </c>
      <c r="D90" s="8">
        <f t="shared" si="24"/>
        <v>7.0257611241217793E-2</v>
      </c>
      <c r="E90" s="18">
        <v>656</v>
      </c>
      <c r="F90" s="8">
        <f>SUM(E90/B90)</f>
        <v>0.30725995316159249</v>
      </c>
      <c r="G90" s="18">
        <v>69</v>
      </c>
      <c r="H90" s="8">
        <f>SUM(G90/E90)</f>
        <v>0.10518292682926829</v>
      </c>
    </row>
    <row r="91" spans="1:8" ht="24.95" customHeight="1" x14ac:dyDescent="0.25">
      <c r="A91" s="24" t="s">
        <v>94</v>
      </c>
      <c r="B91" s="12">
        <v>966</v>
      </c>
      <c r="C91" s="18"/>
      <c r="D91" s="8"/>
      <c r="E91" s="18">
        <v>402</v>
      </c>
      <c r="F91" s="8">
        <f>SUM(E91/B91)</f>
        <v>0.41614906832298137</v>
      </c>
      <c r="G91" s="18">
        <v>45</v>
      </c>
      <c r="H91" s="8">
        <f>SUM(G91/E91)</f>
        <v>0.11194029850746269</v>
      </c>
    </row>
    <row r="92" spans="1:8" ht="24.95" customHeight="1" x14ac:dyDescent="0.25">
      <c r="A92" s="24" t="s">
        <v>213</v>
      </c>
      <c r="B92" s="12">
        <v>382</v>
      </c>
      <c r="C92" s="18">
        <v>52</v>
      </c>
      <c r="D92" s="8">
        <f t="shared" ref="D92:D98" si="26">SUM(C92/B92)</f>
        <v>0.13612565445026178</v>
      </c>
      <c r="E92" s="18"/>
      <c r="F92" s="8"/>
      <c r="G92" s="18"/>
      <c r="H92" s="8"/>
    </row>
    <row r="93" spans="1:8" ht="24.95" customHeight="1" x14ac:dyDescent="0.25">
      <c r="A93" s="24" t="s">
        <v>95</v>
      </c>
      <c r="B93" s="12">
        <v>126</v>
      </c>
      <c r="C93" s="18">
        <v>49</v>
      </c>
      <c r="D93" s="8">
        <f t="shared" si="26"/>
        <v>0.3888888888888889</v>
      </c>
      <c r="E93" s="18"/>
      <c r="F93" s="8"/>
      <c r="G93" s="18"/>
      <c r="H93" s="8"/>
    </row>
    <row r="94" spans="1:8" ht="24.95" customHeight="1" x14ac:dyDescent="0.25">
      <c r="A94" s="24" t="s">
        <v>96</v>
      </c>
      <c r="B94" s="12">
        <v>709</v>
      </c>
      <c r="C94" s="18">
        <v>34</v>
      </c>
      <c r="D94" s="8">
        <f t="shared" si="26"/>
        <v>4.7954866008462625E-2</v>
      </c>
      <c r="E94" s="18">
        <v>258</v>
      </c>
      <c r="F94" s="8">
        <f>SUM(E94/B94)</f>
        <v>0.36389280677009872</v>
      </c>
      <c r="G94" s="18">
        <v>9</v>
      </c>
      <c r="H94" s="8">
        <f>SUM(G94/E94)</f>
        <v>3.4883720930232558E-2</v>
      </c>
    </row>
    <row r="95" spans="1:8" ht="24.95" customHeight="1" x14ac:dyDescent="0.25">
      <c r="A95" s="24" t="s">
        <v>97</v>
      </c>
      <c r="B95" s="12">
        <v>72</v>
      </c>
      <c r="C95" s="18">
        <v>11</v>
      </c>
      <c r="D95" s="8">
        <f t="shared" si="26"/>
        <v>0.15277777777777779</v>
      </c>
      <c r="E95" s="18">
        <v>23</v>
      </c>
      <c r="F95" s="8">
        <f>SUM(E95/B95)</f>
        <v>0.31944444444444442</v>
      </c>
      <c r="G95" s="18">
        <v>3</v>
      </c>
      <c r="H95" s="8">
        <f>SUM(G95/E95)</f>
        <v>0.13043478260869565</v>
      </c>
    </row>
    <row r="96" spans="1:8" ht="24.95" customHeight="1" x14ac:dyDescent="0.25">
      <c r="A96" s="24" t="s">
        <v>98</v>
      </c>
      <c r="B96" s="12">
        <v>1072</v>
      </c>
      <c r="C96" s="18">
        <v>150</v>
      </c>
      <c r="D96" s="8">
        <f t="shared" si="26"/>
        <v>0.13992537313432835</v>
      </c>
      <c r="E96" s="18">
        <v>605</v>
      </c>
      <c r="F96" s="8">
        <f>SUM(E96/B96)</f>
        <v>0.56436567164179108</v>
      </c>
      <c r="G96" s="18">
        <v>54</v>
      </c>
      <c r="H96" s="8">
        <f>SUM(G96/E96)</f>
        <v>8.9256198347107435E-2</v>
      </c>
    </row>
    <row r="97" spans="1:8" ht="24.95" customHeight="1" x14ac:dyDescent="0.25">
      <c r="A97" s="24" t="s">
        <v>99</v>
      </c>
      <c r="B97" s="12">
        <v>1480</v>
      </c>
      <c r="C97" s="18">
        <v>119</v>
      </c>
      <c r="D97" s="8">
        <f t="shared" si="26"/>
        <v>8.0405405405405403E-2</v>
      </c>
      <c r="E97" s="18"/>
      <c r="F97" s="8"/>
      <c r="G97" s="18"/>
      <c r="H97" s="8"/>
    </row>
    <row r="98" spans="1:8" ht="24.95" customHeight="1" x14ac:dyDescent="0.25">
      <c r="A98" s="24" t="s">
        <v>100</v>
      </c>
      <c r="B98" s="12">
        <v>635</v>
      </c>
      <c r="C98" s="18">
        <v>107</v>
      </c>
      <c r="D98" s="8">
        <f t="shared" si="26"/>
        <v>0.16850393700787403</v>
      </c>
      <c r="E98" s="18">
        <v>150</v>
      </c>
      <c r="F98" s="8">
        <f t="shared" ref="F98:F107" si="27">SUM(E98/B98)</f>
        <v>0.23622047244094488</v>
      </c>
      <c r="G98" s="18"/>
      <c r="H98" s="8"/>
    </row>
    <row r="99" spans="1:8" ht="24.95" customHeight="1" x14ac:dyDescent="0.25">
      <c r="A99" s="24" t="s">
        <v>101</v>
      </c>
      <c r="B99" s="12">
        <v>1590</v>
      </c>
      <c r="C99" s="18"/>
      <c r="D99" s="8"/>
      <c r="E99" s="18">
        <v>648</v>
      </c>
      <c r="F99" s="8">
        <f t="shared" si="27"/>
        <v>0.40754716981132078</v>
      </c>
      <c r="G99" s="18">
        <v>59</v>
      </c>
      <c r="H99" s="8">
        <f t="shared" ref="H99:H107" si="28">SUM(G99/E99)</f>
        <v>9.1049382716049385E-2</v>
      </c>
    </row>
    <row r="100" spans="1:8" ht="24.95" customHeight="1" x14ac:dyDescent="0.25">
      <c r="A100" s="24" t="s">
        <v>102</v>
      </c>
      <c r="B100" s="12">
        <v>3538</v>
      </c>
      <c r="C100" s="18">
        <v>88</v>
      </c>
      <c r="D100" s="8">
        <f>SUM(C100/B100)</f>
        <v>2.4872809496890899E-2</v>
      </c>
      <c r="E100" s="18">
        <v>868</v>
      </c>
      <c r="F100" s="8">
        <f t="shared" si="27"/>
        <v>0.24533634821933295</v>
      </c>
      <c r="G100" s="18">
        <v>74</v>
      </c>
      <c r="H100" s="8">
        <f t="shared" si="28"/>
        <v>8.5253456221198162E-2</v>
      </c>
    </row>
    <row r="101" spans="1:8" ht="24.95" customHeight="1" x14ac:dyDescent="0.25">
      <c r="A101" s="24" t="s">
        <v>103</v>
      </c>
      <c r="B101" s="12">
        <v>170</v>
      </c>
      <c r="C101" s="18">
        <v>21</v>
      </c>
      <c r="D101" s="8">
        <f>SUM(C101/B101)</f>
        <v>0.12352941176470589</v>
      </c>
      <c r="E101" s="18">
        <v>101</v>
      </c>
      <c r="F101" s="8">
        <f t="shared" si="27"/>
        <v>0.59411764705882353</v>
      </c>
      <c r="G101" s="18">
        <v>11</v>
      </c>
      <c r="H101" s="8">
        <f t="shared" si="28"/>
        <v>0.10891089108910891</v>
      </c>
    </row>
    <row r="102" spans="1:8" ht="24.95" customHeight="1" x14ac:dyDescent="0.25">
      <c r="A102" s="24" t="s">
        <v>104</v>
      </c>
      <c r="B102" s="12">
        <v>3992</v>
      </c>
      <c r="C102" s="18">
        <v>96</v>
      </c>
      <c r="D102" s="8">
        <f>SUM(C102/B102)</f>
        <v>2.4048096192384769E-2</v>
      </c>
      <c r="E102" s="18">
        <v>1299</v>
      </c>
      <c r="F102" s="8">
        <f t="shared" si="27"/>
        <v>0.32540080160320639</v>
      </c>
      <c r="G102" s="18">
        <v>180</v>
      </c>
      <c r="H102" s="8">
        <f t="shared" si="28"/>
        <v>0.13856812933025403</v>
      </c>
    </row>
    <row r="103" spans="1:8" ht="24.95" customHeight="1" x14ac:dyDescent="0.25">
      <c r="A103" s="24" t="s">
        <v>105</v>
      </c>
      <c r="B103" s="12">
        <v>716</v>
      </c>
      <c r="C103" s="18"/>
      <c r="D103" s="8"/>
      <c r="E103" s="18">
        <v>416</v>
      </c>
      <c r="F103" s="8">
        <f t="shared" si="27"/>
        <v>0.58100558659217882</v>
      </c>
      <c r="G103" s="18">
        <v>70</v>
      </c>
      <c r="H103" s="8">
        <f t="shared" si="28"/>
        <v>0.16826923076923078</v>
      </c>
    </row>
    <row r="104" spans="1:8" ht="24.95" customHeight="1" x14ac:dyDescent="0.25">
      <c r="A104" s="24" t="s">
        <v>106</v>
      </c>
      <c r="B104" s="12">
        <v>904</v>
      </c>
      <c r="C104" s="18">
        <v>53</v>
      </c>
      <c r="D104" s="8">
        <f>SUM(C104/B104)</f>
        <v>5.8628318584070797E-2</v>
      </c>
      <c r="E104" s="18">
        <v>370</v>
      </c>
      <c r="F104" s="8">
        <f t="shared" si="27"/>
        <v>0.40929203539823011</v>
      </c>
      <c r="G104" s="18">
        <v>30</v>
      </c>
      <c r="H104" s="8">
        <f t="shared" si="28"/>
        <v>8.1081081081081086E-2</v>
      </c>
    </row>
    <row r="105" spans="1:8" ht="24.95" customHeight="1" x14ac:dyDescent="0.25">
      <c r="A105" s="24" t="s">
        <v>107</v>
      </c>
      <c r="B105" s="12">
        <v>5350</v>
      </c>
      <c r="C105" s="18">
        <v>219</v>
      </c>
      <c r="D105" s="8">
        <f>SUM(C105/B105)</f>
        <v>4.0934579439252335E-2</v>
      </c>
      <c r="E105" s="18">
        <v>2347</v>
      </c>
      <c r="F105" s="8">
        <f t="shared" si="27"/>
        <v>0.43869158878504672</v>
      </c>
      <c r="G105" s="18">
        <v>376</v>
      </c>
      <c r="H105" s="8">
        <f t="shared" si="28"/>
        <v>0.16020451640391989</v>
      </c>
    </row>
    <row r="106" spans="1:8" ht="24.95" customHeight="1" x14ac:dyDescent="0.25">
      <c r="A106" s="24" t="s">
        <v>22</v>
      </c>
      <c r="B106" s="12">
        <v>1465</v>
      </c>
      <c r="C106" s="18"/>
      <c r="D106" s="8"/>
      <c r="E106" s="18">
        <v>692</v>
      </c>
      <c r="F106" s="8">
        <f t="shared" si="27"/>
        <v>0.47235494880546075</v>
      </c>
      <c r="G106" s="18">
        <v>143</v>
      </c>
      <c r="H106" s="8">
        <f t="shared" si="28"/>
        <v>0.20664739884393063</v>
      </c>
    </row>
    <row r="107" spans="1:8" ht="24.95" customHeight="1" x14ac:dyDescent="0.25">
      <c r="A107" s="24" t="s">
        <v>108</v>
      </c>
      <c r="B107" s="12">
        <v>7956</v>
      </c>
      <c r="C107" s="18"/>
      <c r="D107" s="8"/>
      <c r="E107" s="18">
        <v>3006</v>
      </c>
      <c r="F107" s="8">
        <f t="shared" si="27"/>
        <v>0.37782805429864252</v>
      </c>
      <c r="G107" s="18">
        <v>611</v>
      </c>
      <c r="H107" s="8">
        <f t="shared" si="28"/>
        <v>0.20326014637391882</v>
      </c>
    </row>
    <row r="108" spans="1:8" ht="24.95" customHeight="1" x14ac:dyDescent="0.25">
      <c r="A108" s="24" t="s">
        <v>214</v>
      </c>
      <c r="B108" s="12">
        <v>975</v>
      </c>
      <c r="C108" s="18">
        <v>64</v>
      </c>
      <c r="D108" s="8">
        <f>SUM(C108/B108)</f>
        <v>6.5641025641025641E-2</v>
      </c>
      <c r="E108" s="18"/>
      <c r="F108" s="8"/>
      <c r="G108" s="18"/>
      <c r="H108" s="8"/>
    </row>
    <row r="109" spans="1:8" ht="24.95" customHeight="1" x14ac:dyDescent="0.25">
      <c r="A109" s="24" t="s">
        <v>23</v>
      </c>
      <c r="B109" s="12">
        <v>1490</v>
      </c>
      <c r="C109" s="18"/>
      <c r="D109" s="8"/>
      <c r="E109" s="18">
        <v>753</v>
      </c>
      <c r="F109" s="8">
        <f t="shared" ref="F109:F114" si="29">SUM(E109/B109)</f>
        <v>0.50536912751677854</v>
      </c>
      <c r="G109" s="18">
        <v>165</v>
      </c>
      <c r="H109" s="8">
        <f>SUM(G109/E109)</f>
        <v>0.21912350597609562</v>
      </c>
    </row>
    <row r="110" spans="1:8" ht="24.95" customHeight="1" x14ac:dyDescent="0.25">
      <c r="A110" s="24" t="s">
        <v>181</v>
      </c>
      <c r="B110" s="12">
        <v>596</v>
      </c>
      <c r="C110" s="18">
        <v>40</v>
      </c>
      <c r="D110" s="8">
        <f t="shared" ref="D110" si="30">SUM(C110/B110)</f>
        <v>6.7114093959731544E-2</v>
      </c>
      <c r="E110" s="18">
        <v>148</v>
      </c>
      <c r="F110" s="8">
        <f t="shared" si="29"/>
        <v>0.24832214765100671</v>
      </c>
      <c r="G110" s="18">
        <v>148</v>
      </c>
      <c r="H110" s="8"/>
    </row>
    <row r="111" spans="1:8" ht="24.95" customHeight="1" x14ac:dyDescent="0.25">
      <c r="A111" s="24" t="s">
        <v>109</v>
      </c>
      <c r="B111" s="12">
        <v>3933</v>
      </c>
      <c r="C111" s="18">
        <v>166</v>
      </c>
      <c r="D111" s="8">
        <f>SUM(C111/B111)</f>
        <v>4.2206966692092548E-2</v>
      </c>
      <c r="E111" s="18">
        <v>1353</v>
      </c>
      <c r="F111" s="8">
        <f t="shared" si="29"/>
        <v>0.34401220442410374</v>
      </c>
      <c r="G111" s="18">
        <v>198</v>
      </c>
      <c r="H111" s="8">
        <f>SUM(G111/E111)</f>
        <v>0.14634146341463414</v>
      </c>
    </row>
    <row r="112" spans="1:8" ht="24.95" customHeight="1" x14ac:dyDescent="0.25">
      <c r="A112" s="24" t="s">
        <v>110</v>
      </c>
      <c r="B112" s="12">
        <v>1052</v>
      </c>
      <c r="C112" s="18"/>
      <c r="D112" s="8"/>
      <c r="E112" s="18">
        <v>502</v>
      </c>
      <c r="F112" s="8">
        <f t="shared" si="29"/>
        <v>0.47718631178707227</v>
      </c>
      <c r="G112" s="18">
        <v>82</v>
      </c>
      <c r="H112" s="8">
        <f>SUM(G112/E112)</f>
        <v>0.16334661354581673</v>
      </c>
    </row>
    <row r="113" spans="1:8" ht="24.95" customHeight="1" x14ac:dyDescent="0.25">
      <c r="A113" s="24" t="s">
        <v>111</v>
      </c>
      <c r="B113" s="12">
        <v>131</v>
      </c>
      <c r="C113" s="18">
        <v>12</v>
      </c>
      <c r="D113" s="8">
        <f t="shared" ref="D113" si="31">SUM(C113/B113)</f>
        <v>9.1603053435114504E-2</v>
      </c>
      <c r="E113" s="18">
        <v>45</v>
      </c>
      <c r="F113" s="8">
        <f t="shared" si="29"/>
        <v>0.34351145038167941</v>
      </c>
      <c r="G113" s="18">
        <v>1</v>
      </c>
      <c r="H113" s="8">
        <f>SUM(G113/E113)</f>
        <v>2.2222222222222223E-2</v>
      </c>
    </row>
    <row r="114" spans="1:8" ht="24.95" customHeight="1" x14ac:dyDescent="0.25">
      <c r="A114" s="24" t="s">
        <v>112</v>
      </c>
      <c r="B114" s="12">
        <v>1322</v>
      </c>
      <c r="C114" s="18"/>
      <c r="D114" s="8"/>
      <c r="E114" s="18">
        <v>754</v>
      </c>
      <c r="F114" s="8">
        <f t="shared" si="29"/>
        <v>0.57034795763993951</v>
      </c>
      <c r="G114" s="18">
        <v>68</v>
      </c>
      <c r="H114" s="8">
        <f>SUM(G114/E114)</f>
        <v>9.0185676392572939E-2</v>
      </c>
    </row>
    <row r="115" spans="1:8" ht="24.95" customHeight="1" x14ac:dyDescent="0.25">
      <c r="A115" s="24" t="s">
        <v>182</v>
      </c>
      <c r="B115" s="12">
        <v>464</v>
      </c>
      <c r="C115" s="18">
        <v>55</v>
      </c>
      <c r="D115" s="8">
        <f>SUM(C115/B115)</f>
        <v>0.11853448275862069</v>
      </c>
      <c r="E115" s="18"/>
      <c r="F115" s="8"/>
      <c r="G115" s="18"/>
      <c r="H115" s="8"/>
    </row>
    <row r="116" spans="1:8" ht="24.95" customHeight="1" x14ac:dyDescent="0.25">
      <c r="A116" s="24" t="s">
        <v>113</v>
      </c>
      <c r="B116" s="12">
        <v>1511</v>
      </c>
      <c r="C116" s="18">
        <v>125</v>
      </c>
      <c r="D116" s="8">
        <f>SUM(C116/B116)</f>
        <v>8.2726671078755795E-2</v>
      </c>
      <c r="E116" s="18">
        <v>466</v>
      </c>
      <c r="F116" s="8">
        <f>SUM(E116/B116)</f>
        <v>0.30840502978160161</v>
      </c>
      <c r="G116" s="18">
        <v>82</v>
      </c>
      <c r="H116" s="8">
        <f>SUM(G116/E116)</f>
        <v>0.17596566523605151</v>
      </c>
    </row>
    <row r="117" spans="1:8" ht="24.95" customHeight="1" x14ac:dyDescent="0.25">
      <c r="A117" s="24" t="s">
        <v>114</v>
      </c>
      <c r="B117" s="12">
        <v>1365</v>
      </c>
      <c r="C117" s="18"/>
      <c r="D117" s="8"/>
      <c r="E117" s="18">
        <v>560</v>
      </c>
      <c r="F117" s="8">
        <f>SUM(E117/B117)</f>
        <v>0.41025641025641024</v>
      </c>
      <c r="G117" s="18">
        <v>108</v>
      </c>
      <c r="H117" s="8">
        <f>SUM(G117/E117)</f>
        <v>0.19285714285714287</v>
      </c>
    </row>
    <row r="118" spans="1:8" ht="24.95" customHeight="1" x14ac:dyDescent="0.25">
      <c r="A118" s="24" t="s">
        <v>115</v>
      </c>
      <c r="B118" s="12" t="s">
        <v>200</v>
      </c>
      <c r="C118" s="18"/>
      <c r="D118" s="8"/>
      <c r="E118" s="18">
        <v>939</v>
      </c>
      <c r="F118" s="8">
        <f>SUM(E118/B118)</f>
        <v>0.24953494552218974</v>
      </c>
      <c r="G118" s="18">
        <v>116</v>
      </c>
      <c r="H118" s="8">
        <f>SUM(G118/E118)</f>
        <v>0.1235356762513312</v>
      </c>
    </row>
    <row r="119" spans="1:8" ht="24.95" customHeight="1" x14ac:dyDescent="0.25">
      <c r="A119" s="24" t="s">
        <v>219</v>
      </c>
      <c r="B119" s="12">
        <v>1318</v>
      </c>
      <c r="C119" s="18">
        <v>76</v>
      </c>
      <c r="D119" s="8">
        <f t="shared" ref="D119" si="32">SUM(C119/B119)</f>
        <v>5.7663125948406675E-2</v>
      </c>
      <c r="E119" s="18">
        <v>257</v>
      </c>
      <c r="F119" s="8">
        <f>SUM(E119/B119)</f>
        <v>0.19499241274658574</v>
      </c>
      <c r="G119" s="18">
        <v>14</v>
      </c>
      <c r="H119" s="8">
        <f>SUM(G119/E119)</f>
        <v>5.4474708171206226E-2</v>
      </c>
    </row>
    <row r="120" spans="1:8" ht="24.95" customHeight="1" x14ac:dyDescent="0.25">
      <c r="A120" s="24" t="s">
        <v>116</v>
      </c>
      <c r="B120" s="12">
        <v>794</v>
      </c>
      <c r="C120" s="18"/>
      <c r="D120" s="8"/>
      <c r="E120" s="18">
        <v>387</v>
      </c>
      <c r="F120" s="8">
        <f>SUM(E120/B120)</f>
        <v>0.48740554156171284</v>
      </c>
      <c r="G120" s="18">
        <v>67</v>
      </c>
      <c r="H120" s="8">
        <f>SUM(G120/E120)</f>
        <v>0.1731266149870801</v>
      </c>
    </row>
    <row r="121" spans="1:8" ht="24.95" customHeight="1" x14ac:dyDescent="0.25">
      <c r="A121" s="24" t="s">
        <v>24</v>
      </c>
      <c r="B121" s="12">
        <v>3200</v>
      </c>
      <c r="C121" s="18">
        <v>150</v>
      </c>
      <c r="D121" s="8">
        <f t="shared" ref="D121" si="33">SUM(C121/B121)</f>
        <v>4.6875E-2</v>
      </c>
      <c r="E121" s="18">
        <v>1336</v>
      </c>
      <c r="F121" s="8">
        <f>SUM(E121/B121)</f>
        <v>0.41749999999999998</v>
      </c>
      <c r="G121" s="18">
        <v>165</v>
      </c>
      <c r="H121" s="8">
        <f>SUM(G121/E121)</f>
        <v>0.12350299401197605</v>
      </c>
    </row>
    <row r="122" spans="1:8" ht="24.95" customHeight="1" x14ac:dyDescent="0.25">
      <c r="A122" s="24" t="s">
        <v>117</v>
      </c>
      <c r="B122" s="12">
        <v>116</v>
      </c>
      <c r="C122" s="18">
        <v>15</v>
      </c>
      <c r="D122" s="8">
        <f>SUM(C122/B122)</f>
        <v>0.12931034482758622</v>
      </c>
      <c r="E122" s="18"/>
      <c r="F122" s="8"/>
      <c r="G122" s="18"/>
      <c r="H122" s="8"/>
    </row>
    <row r="123" spans="1:8" ht="24.95" customHeight="1" x14ac:dyDescent="0.25">
      <c r="A123" s="24" t="s">
        <v>118</v>
      </c>
      <c r="B123" s="12" t="s">
        <v>201</v>
      </c>
      <c r="C123" s="18"/>
      <c r="D123" s="8"/>
      <c r="E123" s="18">
        <v>1858</v>
      </c>
      <c r="F123" s="8">
        <f>SUM(E123/B123)</f>
        <v>0.57098955132145057</v>
      </c>
      <c r="G123" s="18">
        <v>214</v>
      </c>
      <c r="H123" s="8">
        <f>SUM(G123/E123)</f>
        <v>0.11517761033369214</v>
      </c>
    </row>
    <row r="124" spans="1:8" ht="24.95" customHeight="1" x14ac:dyDescent="0.25">
      <c r="A124" s="24" t="s">
        <v>119</v>
      </c>
      <c r="B124" s="12">
        <v>891</v>
      </c>
      <c r="C124" s="18"/>
      <c r="D124" s="8"/>
      <c r="E124" s="18">
        <v>463</v>
      </c>
      <c r="F124" s="8">
        <f>SUM(E124/B124)</f>
        <v>0.51964085297418627</v>
      </c>
      <c r="G124" s="18">
        <v>57</v>
      </c>
      <c r="H124" s="8">
        <f>SUM(G124/E124)</f>
        <v>0.12311015118790497</v>
      </c>
    </row>
    <row r="125" spans="1:8" ht="24.95" customHeight="1" x14ac:dyDescent="0.25">
      <c r="A125" s="24" t="s">
        <v>120</v>
      </c>
      <c r="B125" s="12">
        <v>1110</v>
      </c>
      <c r="C125" s="18"/>
      <c r="D125" s="8"/>
      <c r="E125" s="18">
        <v>541</v>
      </c>
      <c r="F125" s="8">
        <f t="shared" ref="F125:F131" si="34">SUM(E125/B125)</f>
        <v>0.48738738738738741</v>
      </c>
      <c r="G125" s="18">
        <v>52</v>
      </c>
      <c r="H125" s="8">
        <f>SUM(G125/E125)</f>
        <v>9.6118299445471345E-2</v>
      </c>
    </row>
    <row r="126" spans="1:8" ht="24.95" customHeight="1" x14ac:dyDescent="0.25">
      <c r="A126" s="24" t="s">
        <v>121</v>
      </c>
      <c r="B126" s="12">
        <v>659</v>
      </c>
      <c r="C126" s="18">
        <v>155</v>
      </c>
      <c r="D126" s="8">
        <f>SUM(C126/B126)</f>
        <v>0.23520485584218512</v>
      </c>
      <c r="E126" s="18"/>
      <c r="F126" s="8"/>
      <c r="G126" s="18"/>
      <c r="H126" s="8"/>
    </row>
    <row r="127" spans="1:8" s="10" customFormat="1" ht="24.95" customHeight="1" x14ac:dyDescent="0.25">
      <c r="A127" s="24" t="s">
        <v>122</v>
      </c>
      <c r="B127" s="17">
        <v>354</v>
      </c>
      <c r="C127" s="18">
        <v>43</v>
      </c>
      <c r="D127" s="19">
        <f>SUM(C127/B127)</f>
        <v>0.12146892655367232</v>
      </c>
      <c r="E127" s="18"/>
      <c r="F127" s="8"/>
      <c r="G127" s="18"/>
      <c r="H127" s="8"/>
    </row>
    <row r="128" spans="1:8" ht="24.95" customHeight="1" x14ac:dyDescent="0.25">
      <c r="A128" s="24" t="s">
        <v>123</v>
      </c>
      <c r="B128" s="12">
        <v>111</v>
      </c>
      <c r="C128" s="18">
        <v>67</v>
      </c>
      <c r="D128" s="8">
        <f>SUM(C128/B128)</f>
        <v>0.60360360360360366</v>
      </c>
      <c r="E128" s="18"/>
      <c r="F128" s="8"/>
      <c r="G128" s="18"/>
      <c r="H128" s="8"/>
    </row>
    <row r="129" spans="1:8" ht="24.95" customHeight="1" x14ac:dyDescent="0.25">
      <c r="A129" s="24" t="s">
        <v>124</v>
      </c>
      <c r="B129" s="12">
        <v>435</v>
      </c>
      <c r="C129" s="18">
        <v>75</v>
      </c>
      <c r="D129" s="8">
        <f>SUM(C129/B129)</f>
        <v>0.17241379310344829</v>
      </c>
      <c r="E129" s="18">
        <v>231</v>
      </c>
      <c r="F129" s="8">
        <f t="shared" si="34"/>
        <v>0.53103448275862064</v>
      </c>
      <c r="G129" s="18">
        <v>28</v>
      </c>
      <c r="H129" s="8">
        <f t="shared" ref="H129" si="35">SUM(G129/E129)</f>
        <v>0.12121212121212122</v>
      </c>
    </row>
    <row r="130" spans="1:8" ht="24.95" customHeight="1" x14ac:dyDescent="0.25">
      <c r="A130" s="24" t="s">
        <v>125</v>
      </c>
      <c r="B130" s="12">
        <v>767</v>
      </c>
      <c r="C130" s="18">
        <v>114</v>
      </c>
      <c r="D130" s="8">
        <f>SUM(C130/B130)</f>
        <v>0.14863102998696218</v>
      </c>
      <c r="E130" s="18"/>
      <c r="F130" s="8"/>
      <c r="G130" s="18"/>
      <c r="H130" s="8"/>
    </row>
    <row r="131" spans="1:8" ht="24.95" customHeight="1" x14ac:dyDescent="0.25">
      <c r="A131" s="24" t="s">
        <v>126</v>
      </c>
      <c r="B131" s="12">
        <v>800</v>
      </c>
      <c r="C131" s="18"/>
      <c r="D131" s="8"/>
      <c r="E131" s="18">
        <v>800</v>
      </c>
      <c r="F131" s="8">
        <f t="shared" si="34"/>
        <v>1</v>
      </c>
      <c r="G131" s="18">
        <v>54</v>
      </c>
      <c r="H131" s="8">
        <f>SUM(G131/E131)</f>
        <v>6.7500000000000004E-2</v>
      </c>
    </row>
    <row r="132" spans="1:8" ht="24.95" customHeight="1" x14ac:dyDescent="0.25">
      <c r="A132" s="24" t="s">
        <v>127</v>
      </c>
      <c r="B132" s="12">
        <v>1213</v>
      </c>
      <c r="C132" s="18">
        <v>200</v>
      </c>
      <c r="D132" s="8">
        <f>SUM(C132/B132)</f>
        <v>0.16488046166529266</v>
      </c>
      <c r="E132" s="18">
        <v>485</v>
      </c>
      <c r="F132" s="8">
        <f>SUM(E132/B132)</f>
        <v>0.39983511953833473</v>
      </c>
      <c r="G132" s="18">
        <v>35</v>
      </c>
      <c r="H132" s="8">
        <f>SUM(G132/E132)</f>
        <v>7.2164948453608241E-2</v>
      </c>
    </row>
    <row r="133" spans="1:8" ht="24.95" customHeight="1" x14ac:dyDescent="0.25">
      <c r="A133" s="24" t="s">
        <v>128</v>
      </c>
      <c r="B133" s="12">
        <v>1885</v>
      </c>
      <c r="C133" s="18">
        <v>165</v>
      </c>
      <c r="D133" s="8">
        <f>SUM(C133/B133)</f>
        <v>8.7533156498673742E-2</v>
      </c>
      <c r="E133" s="18">
        <v>910</v>
      </c>
      <c r="F133" s="8">
        <f>SUM(E133/B133)</f>
        <v>0.48275862068965519</v>
      </c>
      <c r="G133" s="18">
        <v>122</v>
      </c>
      <c r="H133" s="8">
        <f>SUM(G133/E133)</f>
        <v>0.13406593406593406</v>
      </c>
    </row>
    <row r="134" spans="1:8" ht="24.95" customHeight="1" x14ac:dyDescent="0.25">
      <c r="A134" s="24" t="s">
        <v>129</v>
      </c>
      <c r="B134" s="12">
        <v>3388</v>
      </c>
      <c r="C134" s="18"/>
      <c r="D134" s="8"/>
      <c r="E134" s="18" t="s">
        <v>208</v>
      </c>
      <c r="F134" s="8">
        <f>SUM(E134/B134)</f>
        <v>0.37632821723730814</v>
      </c>
      <c r="G134" s="18">
        <v>178</v>
      </c>
      <c r="H134" s="8">
        <f>SUM(G134/E134)</f>
        <v>0.13960784313725491</v>
      </c>
    </row>
    <row r="135" spans="1:8" ht="24.95" customHeight="1" x14ac:dyDescent="0.25">
      <c r="A135" s="24" t="s">
        <v>215</v>
      </c>
      <c r="B135" s="12">
        <v>524</v>
      </c>
      <c r="C135" s="18">
        <v>107</v>
      </c>
      <c r="D135" s="8">
        <f>SUM(C135/B135)</f>
        <v>0.20419847328244276</v>
      </c>
      <c r="E135" s="18"/>
      <c r="F135" s="8"/>
      <c r="G135" s="18"/>
      <c r="H135" s="8"/>
    </row>
    <row r="136" spans="1:8" ht="24.95" customHeight="1" x14ac:dyDescent="0.25">
      <c r="A136" s="24" t="s">
        <v>25</v>
      </c>
      <c r="B136" s="12">
        <v>557</v>
      </c>
      <c r="C136" s="18">
        <v>60</v>
      </c>
      <c r="D136" s="8">
        <f>SUM(C136/B136)</f>
        <v>0.10771992818671454</v>
      </c>
      <c r="E136" s="18">
        <v>250</v>
      </c>
      <c r="F136" s="8">
        <f>SUM(E136/B136)</f>
        <v>0.44883303411131059</v>
      </c>
      <c r="G136" s="18">
        <v>13</v>
      </c>
      <c r="H136" s="8">
        <f>SUM(G136/E136)</f>
        <v>5.1999999999999998E-2</v>
      </c>
    </row>
    <row r="137" spans="1:8" ht="24.95" customHeight="1" x14ac:dyDescent="0.25">
      <c r="A137" s="24" t="s">
        <v>130</v>
      </c>
      <c r="B137" s="12">
        <v>1687</v>
      </c>
      <c r="C137" s="18"/>
      <c r="D137" s="8"/>
      <c r="E137" s="18">
        <v>530</v>
      </c>
      <c r="F137" s="8">
        <f>SUM(E137/B137)</f>
        <v>0.31416716064018968</v>
      </c>
      <c r="G137" s="18"/>
      <c r="H137" s="8"/>
    </row>
    <row r="138" spans="1:8" ht="24.95" customHeight="1" x14ac:dyDescent="0.25">
      <c r="A138" s="24" t="s">
        <v>131</v>
      </c>
      <c r="B138" s="12">
        <v>3377</v>
      </c>
      <c r="C138" s="18">
        <v>160</v>
      </c>
      <c r="D138" s="8">
        <f>SUM(C138/B138)</f>
        <v>4.7379330766952915E-2</v>
      </c>
      <c r="E138" s="18">
        <v>1760</v>
      </c>
      <c r="F138" s="8">
        <f>SUM(E138/B138)</f>
        <v>0.52117263843648209</v>
      </c>
      <c r="G138" s="18">
        <v>340</v>
      </c>
      <c r="H138" s="8">
        <f>SUM(G138/E138)</f>
        <v>0.19318181818181818</v>
      </c>
    </row>
    <row r="139" spans="1:8" ht="24.95" customHeight="1" x14ac:dyDescent="0.25">
      <c r="A139" s="24" t="s">
        <v>132</v>
      </c>
      <c r="B139" s="12">
        <v>434</v>
      </c>
      <c r="C139" s="18">
        <v>90</v>
      </c>
      <c r="D139" s="8">
        <f t="shared" ref="D139:D140" si="36">SUM(C139/B139)</f>
        <v>0.20737327188940091</v>
      </c>
      <c r="E139" s="18">
        <v>257</v>
      </c>
      <c r="F139" s="8">
        <f>SUM(E139/B139)</f>
        <v>0.59216589861751157</v>
      </c>
      <c r="G139" s="18">
        <v>9</v>
      </c>
      <c r="H139" s="8">
        <f>SUM(G139/E139)</f>
        <v>3.5019455252918288E-2</v>
      </c>
    </row>
    <row r="140" spans="1:8" ht="24.95" customHeight="1" x14ac:dyDescent="0.25">
      <c r="A140" s="24" t="s">
        <v>216</v>
      </c>
      <c r="B140" s="12">
        <v>898</v>
      </c>
      <c r="C140" s="18">
        <v>150</v>
      </c>
      <c r="D140" s="8">
        <f t="shared" si="36"/>
        <v>0.16703786191536749</v>
      </c>
      <c r="E140" s="18"/>
      <c r="F140" s="8"/>
      <c r="G140" s="18"/>
      <c r="H140" s="8"/>
    </row>
    <row r="141" spans="1:8" ht="24.95" customHeight="1" x14ac:dyDescent="0.25">
      <c r="A141" s="24" t="s">
        <v>26</v>
      </c>
      <c r="B141" s="12">
        <v>3276</v>
      </c>
      <c r="C141" s="18"/>
      <c r="D141" s="8"/>
      <c r="E141" s="18">
        <v>1236</v>
      </c>
      <c r="F141" s="8">
        <f>SUM(E141/B141)</f>
        <v>0.37728937728937728</v>
      </c>
      <c r="G141" s="18">
        <v>124</v>
      </c>
      <c r="H141" s="8">
        <f>SUM(G141/E141)</f>
        <v>0.10032362459546926</v>
      </c>
    </row>
    <row r="142" spans="1:8" ht="24.95" customHeight="1" x14ac:dyDescent="0.25">
      <c r="A142" s="24" t="s">
        <v>27</v>
      </c>
      <c r="B142" s="12">
        <v>530</v>
      </c>
      <c r="C142" s="18">
        <v>83</v>
      </c>
      <c r="D142" s="8">
        <f>SUM(C142/B142)</f>
        <v>0.15660377358490565</v>
      </c>
      <c r="E142" s="18">
        <v>247</v>
      </c>
      <c r="F142" s="8">
        <f>SUM(E142/B142)</f>
        <v>0.46603773584905661</v>
      </c>
      <c r="G142" s="18">
        <v>43</v>
      </c>
      <c r="H142" s="8">
        <f>SUM(G142/E142)</f>
        <v>0.17408906882591094</v>
      </c>
    </row>
    <row r="143" spans="1:8" ht="24.95" customHeight="1" x14ac:dyDescent="0.25">
      <c r="A143" s="24" t="s">
        <v>133</v>
      </c>
      <c r="B143" s="12">
        <v>2365</v>
      </c>
      <c r="C143" s="18">
        <v>178</v>
      </c>
      <c r="D143" s="8">
        <f>SUM(C143/B143)</f>
        <v>7.5264270613107823E-2</v>
      </c>
      <c r="E143" s="18">
        <v>746</v>
      </c>
      <c r="F143" s="8">
        <f>SUM(E143/B143)</f>
        <v>0.31543340380549684</v>
      </c>
      <c r="G143" s="18"/>
      <c r="H143" s="8"/>
    </row>
    <row r="144" spans="1:8" ht="24.95" customHeight="1" x14ac:dyDescent="0.25">
      <c r="A144" s="24" t="s">
        <v>134</v>
      </c>
      <c r="B144" s="12">
        <v>528</v>
      </c>
      <c r="C144" s="18"/>
      <c r="D144" s="8"/>
      <c r="E144" s="18">
        <v>281</v>
      </c>
      <c r="F144" s="8">
        <f>SUM(E144/B144)</f>
        <v>0.53219696969696972</v>
      </c>
      <c r="G144" s="18">
        <v>41</v>
      </c>
      <c r="H144" s="8">
        <f>SUM(G144/E144)</f>
        <v>0.14590747330960854</v>
      </c>
    </row>
    <row r="145" spans="1:8" ht="24.95" customHeight="1" x14ac:dyDescent="0.25">
      <c r="A145" s="24" t="s">
        <v>135</v>
      </c>
      <c r="B145" s="12">
        <v>2976</v>
      </c>
      <c r="C145" s="18"/>
      <c r="D145" s="8"/>
      <c r="E145" s="18">
        <v>1566</v>
      </c>
      <c r="F145" s="8">
        <f>SUM(E145/B145)</f>
        <v>0.52620967741935487</v>
      </c>
      <c r="G145" s="18">
        <v>178</v>
      </c>
      <c r="H145" s="8">
        <f>SUM(G145/E145)</f>
        <v>0.1136653895274585</v>
      </c>
    </row>
    <row r="146" spans="1:8" ht="24.95" customHeight="1" x14ac:dyDescent="0.25">
      <c r="A146" s="24" t="s">
        <v>136</v>
      </c>
      <c r="B146" s="12">
        <v>975</v>
      </c>
      <c r="C146" s="18">
        <v>125</v>
      </c>
      <c r="D146" s="8">
        <f>SUM(C146/B146)</f>
        <v>0.12820512820512819</v>
      </c>
      <c r="E146" s="18"/>
      <c r="F146" s="8"/>
      <c r="G146" s="18"/>
      <c r="H146" s="8"/>
    </row>
    <row r="147" spans="1:8" ht="24.95" customHeight="1" x14ac:dyDescent="0.25">
      <c r="A147" s="24" t="s">
        <v>183</v>
      </c>
      <c r="B147" s="12">
        <v>494</v>
      </c>
      <c r="C147" s="18">
        <v>30</v>
      </c>
      <c r="D147" s="8">
        <f>SUM(C147/B147)</f>
        <v>6.0728744939271252E-2</v>
      </c>
      <c r="E147" s="18"/>
      <c r="F147" s="8"/>
      <c r="G147" s="18"/>
      <c r="H147" s="8"/>
    </row>
    <row r="148" spans="1:8" ht="24.95" customHeight="1" x14ac:dyDescent="0.25">
      <c r="A148" s="24" t="s">
        <v>217</v>
      </c>
      <c r="B148" s="12">
        <v>925</v>
      </c>
      <c r="C148" s="18"/>
      <c r="D148" s="8"/>
      <c r="E148" s="18">
        <v>355</v>
      </c>
      <c r="F148" s="8">
        <f>SUM(E148/B148)</f>
        <v>0.38378378378378381</v>
      </c>
      <c r="G148" s="18">
        <v>31</v>
      </c>
      <c r="H148" s="8">
        <f>SUM(G148/E148)</f>
        <v>8.7323943661971826E-2</v>
      </c>
    </row>
    <row r="149" spans="1:8" ht="24.95" customHeight="1" x14ac:dyDescent="0.25">
      <c r="A149" s="24" t="s">
        <v>137</v>
      </c>
      <c r="B149" s="12">
        <v>93</v>
      </c>
      <c r="C149" s="18">
        <v>20</v>
      </c>
      <c r="D149" s="8">
        <f>SUM(C149/B149)</f>
        <v>0.21505376344086022</v>
      </c>
      <c r="E149" s="18">
        <v>39</v>
      </c>
      <c r="F149" s="8">
        <f>SUM(E149/B149)</f>
        <v>0.41935483870967744</v>
      </c>
      <c r="G149" s="18">
        <v>1</v>
      </c>
      <c r="H149" s="8">
        <f>SUM(G149/E149)</f>
        <v>2.564102564102564E-2</v>
      </c>
    </row>
    <row r="150" spans="1:8" ht="24.95" customHeight="1" x14ac:dyDescent="0.25">
      <c r="A150" s="24" t="s">
        <v>138</v>
      </c>
      <c r="B150" s="12" t="s">
        <v>202</v>
      </c>
      <c r="C150" s="18">
        <v>97</v>
      </c>
      <c r="D150" s="8">
        <f>SUM(C150/B150)</f>
        <v>3.5925925925925924E-2</v>
      </c>
      <c r="E150" s="18">
        <v>1034</v>
      </c>
      <c r="F150" s="8">
        <f>SUM(E150/B150)</f>
        <v>0.38296296296296295</v>
      </c>
      <c r="G150" s="18">
        <v>130</v>
      </c>
      <c r="H150" s="8">
        <f>SUM(G150/E150)</f>
        <v>0.12572533849129594</v>
      </c>
    </row>
    <row r="151" spans="1:8" ht="24.95" customHeight="1" x14ac:dyDescent="0.25">
      <c r="A151" s="24" t="s">
        <v>139</v>
      </c>
      <c r="B151" s="12">
        <v>470</v>
      </c>
      <c r="C151" s="18">
        <v>120</v>
      </c>
      <c r="D151" s="8">
        <f>SUM(C151/B151)</f>
        <v>0.25531914893617019</v>
      </c>
      <c r="E151" s="18"/>
      <c r="F151" s="8"/>
      <c r="G151" s="18"/>
      <c r="H151" s="8"/>
    </row>
    <row r="152" spans="1:8" ht="24.95" customHeight="1" x14ac:dyDescent="0.25">
      <c r="A152" s="24" t="s">
        <v>140</v>
      </c>
      <c r="B152" s="12">
        <v>6489</v>
      </c>
      <c r="C152" s="18"/>
      <c r="D152" s="8"/>
      <c r="E152" s="18">
        <v>3241</v>
      </c>
      <c r="F152" s="8">
        <f t="shared" ref="F152:F161" si="37">SUM(E152/B152)</f>
        <v>0.4994606256742179</v>
      </c>
      <c r="G152" s="18">
        <v>983</v>
      </c>
      <c r="H152" s="8">
        <f t="shared" ref="H152:H161" si="38">SUM(G152/E152)</f>
        <v>0.30330145016970073</v>
      </c>
    </row>
    <row r="153" spans="1:8" ht="24.95" customHeight="1" x14ac:dyDescent="0.25">
      <c r="A153" s="24" t="s">
        <v>141</v>
      </c>
      <c r="B153" s="12">
        <v>1527</v>
      </c>
      <c r="C153" s="18">
        <v>73</v>
      </c>
      <c r="D153" s="8">
        <f>SUM(C153/B153)</f>
        <v>4.7806155861165683E-2</v>
      </c>
      <c r="E153" s="18">
        <v>296</v>
      </c>
      <c r="F153" s="8">
        <f t="shared" si="37"/>
        <v>0.19384413883431564</v>
      </c>
      <c r="G153" s="18">
        <v>13</v>
      </c>
      <c r="H153" s="8">
        <f t="shared" si="38"/>
        <v>4.3918918918918921E-2</v>
      </c>
    </row>
    <row r="154" spans="1:8" ht="24.95" customHeight="1" x14ac:dyDescent="0.25">
      <c r="A154" s="24" t="s">
        <v>142</v>
      </c>
      <c r="B154" s="12">
        <v>875</v>
      </c>
      <c r="C154" s="18">
        <v>85</v>
      </c>
      <c r="D154" s="8">
        <f>SUM(C154/B154)</f>
        <v>9.7142857142857142E-2</v>
      </c>
      <c r="E154" s="18">
        <v>406</v>
      </c>
      <c r="F154" s="8">
        <f t="shared" si="37"/>
        <v>0.46400000000000002</v>
      </c>
      <c r="G154" s="18">
        <v>42</v>
      </c>
      <c r="H154" s="8">
        <f t="shared" si="38"/>
        <v>0.10344827586206896</v>
      </c>
    </row>
    <row r="155" spans="1:8" ht="24.95" customHeight="1" x14ac:dyDescent="0.25">
      <c r="A155" s="24" t="s">
        <v>28</v>
      </c>
      <c r="B155" s="12">
        <v>891</v>
      </c>
      <c r="C155" s="18"/>
      <c r="D155" s="8"/>
      <c r="E155" s="18">
        <v>374</v>
      </c>
      <c r="F155" s="8">
        <f t="shared" si="37"/>
        <v>0.41975308641975306</v>
      </c>
      <c r="G155" s="18">
        <v>52</v>
      </c>
      <c r="H155" s="8">
        <f t="shared" si="38"/>
        <v>0.13903743315508021</v>
      </c>
    </row>
    <row r="156" spans="1:8" ht="24.95" customHeight="1" x14ac:dyDescent="0.25">
      <c r="A156" s="24" t="s">
        <v>143</v>
      </c>
      <c r="B156" s="12">
        <v>15500</v>
      </c>
      <c r="C156" s="18"/>
      <c r="D156" s="8"/>
      <c r="E156" s="18">
        <v>8650</v>
      </c>
      <c r="F156" s="8">
        <f t="shared" si="37"/>
        <v>0.5580645161290323</v>
      </c>
      <c r="G156" s="18">
        <v>2200</v>
      </c>
      <c r="H156" s="8">
        <f t="shared" si="38"/>
        <v>0.25433526011560692</v>
      </c>
    </row>
    <row r="157" spans="1:8" ht="24.95" customHeight="1" x14ac:dyDescent="0.25">
      <c r="A157" s="24" t="s">
        <v>144</v>
      </c>
      <c r="B157" s="12">
        <v>1549</v>
      </c>
      <c r="C157" s="18"/>
      <c r="D157" s="8"/>
      <c r="E157" s="18">
        <v>783</v>
      </c>
      <c r="F157" s="8">
        <f t="shared" si="37"/>
        <v>0.50548741123305363</v>
      </c>
      <c r="G157" s="18">
        <v>107</v>
      </c>
      <c r="H157" s="8">
        <f t="shared" si="38"/>
        <v>0.13665389527458494</v>
      </c>
    </row>
    <row r="158" spans="1:8" ht="24.95" customHeight="1" x14ac:dyDescent="0.25">
      <c r="A158" s="24" t="s">
        <v>145</v>
      </c>
      <c r="B158" s="12">
        <v>7293</v>
      </c>
      <c r="C158" s="18"/>
      <c r="D158" s="8"/>
      <c r="E158" s="18">
        <v>2378</v>
      </c>
      <c r="F158" s="8">
        <f t="shared" si="37"/>
        <v>0.32606609077197313</v>
      </c>
      <c r="G158" s="18">
        <v>434</v>
      </c>
      <c r="H158" s="8">
        <f t="shared" si="38"/>
        <v>0.18250630782169891</v>
      </c>
    </row>
    <row r="159" spans="1:8" s="10" customFormat="1" ht="24.95" customHeight="1" x14ac:dyDescent="0.25">
      <c r="A159" s="24" t="s">
        <v>221</v>
      </c>
      <c r="B159" s="12">
        <v>4858</v>
      </c>
      <c r="C159" s="18"/>
      <c r="D159" s="8"/>
      <c r="E159" s="18">
        <v>2030</v>
      </c>
      <c r="F159" s="8">
        <f t="shared" si="37"/>
        <v>0.41786743515850144</v>
      </c>
      <c r="G159" s="18">
        <v>375</v>
      </c>
      <c r="H159" s="8">
        <f t="shared" si="38"/>
        <v>0.18472906403940886</v>
      </c>
    </row>
    <row r="160" spans="1:8" ht="24.95" customHeight="1" x14ac:dyDescent="0.25">
      <c r="A160" s="24" t="s">
        <v>146</v>
      </c>
      <c r="B160" s="12">
        <v>5224</v>
      </c>
      <c r="C160" s="18"/>
      <c r="D160" s="8"/>
      <c r="E160" s="18">
        <v>1720</v>
      </c>
      <c r="F160" s="8">
        <f t="shared" si="37"/>
        <v>0.32924961715160794</v>
      </c>
      <c r="G160" s="18">
        <v>161</v>
      </c>
      <c r="H160" s="8">
        <f t="shared" si="38"/>
        <v>9.3604651162790695E-2</v>
      </c>
    </row>
    <row r="161" spans="1:8" ht="24.95" customHeight="1" x14ac:dyDescent="0.25">
      <c r="A161" s="24" t="s">
        <v>29</v>
      </c>
      <c r="B161" s="12">
        <v>4306</v>
      </c>
      <c r="C161" s="18"/>
      <c r="D161" s="8"/>
      <c r="E161" s="18">
        <v>1847</v>
      </c>
      <c r="F161" s="8">
        <f t="shared" si="37"/>
        <v>0.42893636785880168</v>
      </c>
      <c r="G161" s="18">
        <v>315</v>
      </c>
      <c r="H161" s="8">
        <f t="shared" si="38"/>
        <v>0.17054683270167839</v>
      </c>
    </row>
    <row r="162" spans="1:8" ht="24.95" customHeight="1" x14ac:dyDescent="0.25">
      <c r="A162" s="24" t="s">
        <v>30</v>
      </c>
      <c r="B162" s="12">
        <v>147</v>
      </c>
      <c r="C162" s="18">
        <v>29</v>
      </c>
      <c r="D162" s="8">
        <f t="shared" ref="D162:D169" si="39">SUM(C162/B162)</f>
        <v>0.19727891156462585</v>
      </c>
      <c r="E162" s="18"/>
      <c r="F162" s="8"/>
      <c r="G162" s="18"/>
      <c r="H162" s="8"/>
    </row>
    <row r="163" spans="1:8" ht="24.95" customHeight="1" x14ac:dyDescent="0.25">
      <c r="A163" s="24" t="s">
        <v>147</v>
      </c>
      <c r="B163" s="12">
        <v>1369</v>
      </c>
      <c r="C163" s="18">
        <v>132</v>
      </c>
      <c r="D163" s="8">
        <f t="shared" si="39"/>
        <v>9.6420745069393715E-2</v>
      </c>
      <c r="E163" s="18">
        <v>562</v>
      </c>
      <c r="F163" s="8">
        <f t="shared" ref="F163" si="40">SUM(E163/B163)</f>
        <v>0.41051862673484296</v>
      </c>
      <c r="G163" s="18">
        <v>66</v>
      </c>
      <c r="H163" s="8">
        <f>SUM(G163/E163)</f>
        <v>0.11743772241992882</v>
      </c>
    </row>
    <row r="164" spans="1:8" ht="24.95" customHeight="1" x14ac:dyDescent="0.25">
      <c r="A164" s="24" t="s">
        <v>148</v>
      </c>
      <c r="B164" s="12">
        <v>550</v>
      </c>
      <c r="C164" s="18">
        <v>45</v>
      </c>
      <c r="D164" s="8">
        <f t="shared" si="39"/>
        <v>8.1818181818181818E-2</v>
      </c>
      <c r="E164" s="18"/>
      <c r="F164" s="8"/>
      <c r="G164" s="18"/>
      <c r="H164" s="8"/>
    </row>
    <row r="165" spans="1:8" ht="24.95" customHeight="1" x14ac:dyDescent="0.25">
      <c r="A165" s="24" t="s">
        <v>218</v>
      </c>
      <c r="B165" s="12">
        <v>915</v>
      </c>
      <c r="C165" s="18">
        <v>223</v>
      </c>
      <c r="D165" s="8">
        <f t="shared" si="39"/>
        <v>0.24371584699453552</v>
      </c>
      <c r="E165" s="18"/>
      <c r="F165" s="8"/>
      <c r="G165" s="18"/>
      <c r="H165" s="8"/>
    </row>
    <row r="166" spans="1:8" ht="24.95" customHeight="1" x14ac:dyDescent="0.25">
      <c r="A166" s="24" t="s">
        <v>149</v>
      </c>
      <c r="B166" s="12">
        <v>197</v>
      </c>
      <c r="C166" s="18">
        <v>45</v>
      </c>
      <c r="D166" s="8">
        <f t="shared" si="39"/>
        <v>0.22842639593908629</v>
      </c>
      <c r="E166" s="18"/>
      <c r="F166" s="8"/>
      <c r="G166" s="18"/>
      <c r="H166" s="8"/>
    </row>
    <row r="167" spans="1:8" ht="24.95" customHeight="1" x14ac:dyDescent="0.25">
      <c r="A167" s="24" t="s">
        <v>150</v>
      </c>
      <c r="B167" s="12">
        <v>446</v>
      </c>
      <c r="C167" s="18">
        <v>60</v>
      </c>
      <c r="D167" s="8">
        <f t="shared" si="39"/>
        <v>0.13452914798206278</v>
      </c>
      <c r="E167" s="18"/>
      <c r="F167" s="8"/>
      <c r="G167" s="18"/>
      <c r="H167" s="8"/>
    </row>
    <row r="168" spans="1:8" ht="24.95" customHeight="1" x14ac:dyDescent="0.25">
      <c r="A168" s="24" t="s">
        <v>31</v>
      </c>
      <c r="B168" s="12">
        <v>757</v>
      </c>
      <c r="C168" s="18">
        <v>56</v>
      </c>
      <c r="D168" s="8">
        <f t="shared" si="39"/>
        <v>7.3976221928665792E-2</v>
      </c>
      <c r="E168" s="18">
        <v>301</v>
      </c>
      <c r="F168" s="8">
        <f>SUM(E168/B168)</f>
        <v>0.39762219286657857</v>
      </c>
      <c r="G168" s="18">
        <v>22</v>
      </c>
      <c r="H168" s="8">
        <f>SUM(G168/E168)</f>
        <v>7.3089700996677748E-2</v>
      </c>
    </row>
    <row r="169" spans="1:8" ht="24.95" customHeight="1" x14ac:dyDescent="0.25">
      <c r="A169" s="24" t="s">
        <v>184</v>
      </c>
      <c r="B169" s="12">
        <v>701</v>
      </c>
      <c r="C169" s="18">
        <v>112</v>
      </c>
      <c r="D169" s="8">
        <f t="shared" si="39"/>
        <v>0.15977175463623394</v>
      </c>
      <c r="E169" s="18"/>
      <c r="F169" s="8"/>
      <c r="G169" s="18"/>
      <c r="H169" s="8"/>
    </row>
    <row r="170" spans="1:8" ht="24.95" customHeight="1" x14ac:dyDescent="0.25">
      <c r="A170" s="24" t="s">
        <v>32</v>
      </c>
      <c r="B170" s="12">
        <v>4325</v>
      </c>
      <c r="C170" s="18"/>
      <c r="D170" s="8"/>
      <c r="E170" s="18">
        <v>1439</v>
      </c>
      <c r="F170" s="8">
        <f>SUM(E170/B170)</f>
        <v>0.33271676300578035</v>
      </c>
      <c r="G170" s="18">
        <v>211</v>
      </c>
      <c r="H170" s="8">
        <f>SUM(G170/E170)</f>
        <v>0.14662960389159138</v>
      </c>
    </row>
    <row r="171" spans="1:8" ht="24.95" customHeight="1" x14ac:dyDescent="0.25">
      <c r="A171" s="24" t="s">
        <v>151</v>
      </c>
      <c r="B171" s="12">
        <v>2362</v>
      </c>
      <c r="C171" s="18">
        <v>256</v>
      </c>
      <c r="D171" s="8">
        <f>SUM(C171/B171)</f>
        <v>0.10838272650296359</v>
      </c>
      <c r="E171" s="18">
        <v>1291</v>
      </c>
      <c r="F171" s="8">
        <f>SUM(E171/B171)</f>
        <v>0.54657070279424214</v>
      </c>
      <c r="G171" s="18">
        <v>189</v>
      </c>
      <c r="H171" s="8">
        <f>SUM(G171/E171)</f>
        <v>0.14639814097598761</v>
      </c>
    </row>
    <row r="172" spans="1:8" ht="24.95" customHeight="1" x14ac:dyDescent="0.25">
      <c r="A172" s="24" t="s">
        <v>152</v>
      </c>
      <c r="B172" s="12">
        <v>379</v>
      </c>
      <c r="C172" s="18">
        <v>77</v>
      </c>
      <c r="D172" s="8">
        <f>SUM(C172/B172)</f>
        <v>0.20316622691292877</v>
      </c>
      <c r="E172" s="18">
        <v>206</v>
      </c>
      <c r="F172" s="8">
        <f>SUM(E172/B172)</f>
        <v>0.54353562005277045</v>
      </c>
      <c r="G172" s="18">
        <v>30</v>
      </c>
      <c r="H172" s="8">
        <f>SUM(G172/E172)</f>
        <v>0.14563106796116504</v>
      </c>
    </row>
    <row r="173" spans="1:8" ht="24.95" customHeight="1" x14ac:dyDescent="0.25">
      <c r="A173" s="24" t="s">
        <v>153</v>
      </c>
      <c r="B173" s="12">
        <v>863</v>
      </c>
      <c r="C173" s="18">
        <v>106</v>
      </c>
      <c r="D173" s="8">
        <f>SUM(C173/B173)</f>
        <v>0.12282734646581692</v>
      </c>
      <c r="E173" s="18"/>
      <c r="F173" s="8"/>
      <c r="G173" s="18"/>
      <c r="H173" s="8"/>
    </row>
    <row r="174" spans="1:8" ht="24.95" customHeight="1" x14ac:dyDescent="0.25">
      <c r="A174" s="24" t="s">
        <v>154</v>
      </c>
      <c r="B174" s="12">
        <v>1109</v>
      </c>
      <c r="C174" s="18">
        <v>50</v>
      </c>
      <c r="D174" s="8">
        <f>SUM(C174/B174)</f>
        <v>4.5085662759242563E-2</v>
      </c>
      <c r="E174" s="18"/>
      <c r="F174" s="8"/>
      <c r="G174" s="18"/>
      <c r="H174" s="8"/>
    </row>
    <row r="175" spans="1:8" ht="24.95" customHeight="1" x14ac:dyDescent="0.25">
      <c r="A175" s="24" t="s">
        <v>186</v>
      </c>
      <c r="B175" s="12">
        <v>213</v>
      </c>
      <c r="C175" s="18">
        <v>200</v>
      </c>
      <c r="D175" s="8">
        <f>SUM(C175/B175)</f>
        <v>0.93896713615023475</v>
      </c>
      <c r="E175" s="18"/>
      <c r="F175" s="8"/>
      <c r="G175" s="18"/>
      <c r="H175" s="8"/>
    </row>
    <row r="176" spans="1:8" ht="24.95" customHeight="1" x14ac:dyDescent="0.25">
      <c r="A176" s="24" t="s">
        <v>155</v>
      </c>
      <c r="B176" s="12">
        <v>2561</v>
      </c>
      <c r="C176" s="18">
        <v>200</v>
      </c>
      <c r="D176" s="8">
        <f>SUM(C176/B176)</f>
        <v>7.8094494338149162E-2</v>
      </c>
      <c r="E176" s="18">
        <v>1257</v>
      </c>
      <c r="F176" s="8">
        <f t="shared" ref="F176:F182" si="41">SUM(E176/B176)</f>
        <v>0.49082389691526745</v>
      </c>
      <c r="G176" s="18">
        <v>208</v>
      </c>
      <c r="H176" s="8">
        <f t="shared" ref="H176:H181" si="42">SUM(G176/E176)</f>
        <v>0.16547334924423229</v>
      </c>
    </row>
    <row r="177" spans="1:8" ht="24.95" customHeight="1" x14ac:dyDescent="0.25">
      <c r="A177" s="24" t="s">
        <v>156</v>
      </c>
      <c r="B177" s="12">
        <v>2014</v>
      </c>
      <c r="C177" s="18"/>
      <c r="D177" s="8"/>
      <c r="E177" s="18">
        <v>902</v>
      </c>
      <c r="F177" s="8">
        <f t="shared" si="41"/>
        <v>0.44786494538232374</v>
      </c>
      <c r="G177" s="18">
        <v>94</v>
      </c>
      <c r="H177" s="8">
        <f t="shared" si="42"/>
        <v>0.10421286031042129</v>
      </c>
    </row>
    <row r="178" spans="1:8" ht="24.95" customHeight="1" x14ac:dyDescent="0.25">
      <c r="A178" s="24" t="s">
        <v>33</v>
      </c>
      <c r="B178" s="12">
        <v>1823</v>
      </c>
      <c r="C178" s="18"/>
      <c r="D178" s="8"/>
      <c r="E178" s="18">
        <v>672</v>
      </c>
      <c r="F178" s="8">
        <f t="shared" si="41"/>
        <v>0.36862314865606144</v>
      </c>
      <c r="G178" s="18">
        <v>119</v>
      </c>
      <c r="H178" s="8">
        <f t="shared" si="42"/>
        <v>0.17708333333333334</v>
      </c>
    </row>
    <row r="179" spans="1:8" ht="24.95" customHeight="1" x14ac:dyDescent="0.25">
      <c r="A179" s="24" t="s">
        <v>187</v>
      </c>
      <c r="B179" s="12">
        <v>519</v>
      </c>
      <c r="C179" s="18">
        <v>61</v>
      </c>
      <c r="D179" s="8">
        <f t="shared" ref="D179:D186" si="43">SUM(C179/B179)</f>
        <v>0.11753371868978806</v>
      </c>
      <c r="E179" s="18">
        <v>227</v>
      </c>
      <c r="F179" s="8">
        <f t="shared" si="41"/>
        <v>0.43737957610789979</v>
      </c>
      <c r="G179" s="18">
        <v>14</v>
      </c>
      <c r="H179" s="8">
        <f t="shared" si="42"/>
        <v>6.1674008810572688E-2</v>
      </c>
    </row>
    <row r="180" spans="1:8" ht="24.95" customHeight="1" x14ac:dyDescent="0.25">
      <c r="A180" s="24" t="s">
        <v>157</v>
      </c>
      <c r="B180" s="12">
        <v>72</v>
      </c>
      <c r="C180" s="18">
        <v>31</v>
      </c>
      <c r="D180" s="8">
        <f t="shared" si="43"/>
        <v>0.43055555555555558</v>
      </c>
      <c r="E180" s="18">
        <v>46</v>
      </c>
      <c r="F180" s="8">
        <f t="shared" si="41"/>
        <v>0.63888888888888884</v>
      </c>
      <c r="G180" s="18">
        <v>21</v>
      </c>
      <c r="H180" s="8">
        <f t="shared" si="42"/>
        <v>0.45652173913043476</v>
      </c>
    </row>
    <row r="181" spans="1:8" ht="24.95" customHeight="1" x14ac:dyDescent="0.25">
      <c r="A181" s="24" t="s">
        <v>158</v>
      </c>
      <c r="B181" s="12">
        <v>713</v>
      </c>
      <c r="C181" s="18">
        <v>62</v>
      </c>
      <c r="D181" s="8">
        <f t="shared" si="43"/>
        <v>8.6956521739130432E-2</v>
      </c>
      <c r="E181" s="18">
        <v>250</v>
      </c>
      <c r="F181" s="8">
        <f t="shared" si="41"/>
        <v>0.35063113604488078</v>
      </c>
      <c r="G181" s="18">
        <v>48</v>
      </c>
      <c r="H181" s="8">
        <f t="shared" si="42"/>
        <v>0.192</v>
      </c>
    </row>
    <row r="182" spans="1:8" ht="24.95" customHeight="1" x14ac:dyDescent="0.25">
      <c r="A182" s="24" t="s">
        <v>159</v>
      </c>
      <c r="B182" s="12">
        <v>1552</v>
      </c>
      <c r="C182" s="18">
        <v>84</v>
      </c>
      <c r="D182" s="8">
        <f t="shared" si="43"/>
        <v>5.4123711340206188E-2</v>
      </c>
      <c r="E182" s="18">
        <v>627</v>
      </c>
      <c r="F182" s="8">
        <f t="shared" si="41"/>
        <v>0.40399484536082475</v>
      </c>
      <c r="G182" s="18"/>
      <c r="H182" s="8"/>
    </row>
    <row r="183" spans="1:8" ht="24.95" customHeight="1" x14ac:dyDescent="0.25">
      <c r="A183" s="24" t="s">
        <v>160</v>
      </c>
      <c r="B183" s="12">
        <v>583</v>
      </c>
      <c r="C183" s="18">
        <v>53</v>
      </c>
      <c r="D183" s="8">
        <f t="shared" si="43"/>
        <v>9.0909090909090912E-2</v>
      </c>
      <c r="E183" s="18"/>
      <c r="F183" s="8"/>
      <c r="G183" s="18"/>
      <c r="H183" s="8"/>
    </row>
    <row r="184" spans="1:8" ht="24.95" customHeight="1" x14ac:dyDescent="0.25">
      <c r="A184" s="24" t="s">
        <v>161</v>
      </c>
      <c r="B184" s="12">
        <v>4500</v>
      </c>
      <c r="C184" s="18"/>
      <c r="D184" s="8"/>
      <c r="E184" s="18">
        <v>2060</v>
      </c>
      <c r="F184" s="8">
        <f>SUM(E184/B184)</f>
        <v>0.45777777777777778</v>
      </c>
      <c r="G184" s="18"/>
      <c r="H184" s="8"/>
    </row>
    <row r="185" spans="1:8" ht="24.95" customHeight="1" x14ac:dyDescent="0.25">
      <c r="A185" s="24" t="s">
        <v>162</v>
      </c>
      <c r="B185" s="12">
        <v>998</v>
      </c>
      <c r="C185" s="18">
        <v>73</v>
      </c>
      <c r="D185" s="8">
        <f t="shared" si="43"/>
        <v>7.3146292585170344E-2</v>
      </c>
      <c r="E185" s="18">
        <v>329</v>
      </c>
      <c r="F185" s="8">
        <f>SUM(E185/B185)</f>
        <v>0.32965931863727455</v>
      </c>
      <c r="G185" s="18">
        <v>16</v>
      </c>
      <c r="H185" s="8">
        <f>SUM(G185/E185)</f>
        <v>4.8632218844984802E-2</v>
      </c>
    </row>
    <row r="186" spans="1:8" ht="24.95" customHeight="1" x14ac:dyDescent="0.25">
      <c r="A186" s="24" t="s">
        <v>163</v>
      </c>
      <c r="B186" s="12">
        <v>603</v>
      </c>
      <c r="C186" s="18">
        <v>85</v>
      </c>
      <c r="D186" s="8">
        <f t="shared" si="43"/>
        <v>0.14096185737976782</v>
      </c>
      <c r="E186" s="18"/>
      <c r="F186" s="8"/>
      <c r="G186" s="18"/>
      <c r="H186" s="8"/>
    </row>
    <row r="187" spans="1:8" ht="24.95" customHeight="1" x14ac:dyDescent="0.25">
      <c r="A187" s="24" t="s">
        <v>188</v>
      </c>
      <c r="B187" s="12">
        <v>943</v>
      </c>
      <c r="C187" s="18"/>
      <c r="D187" s="8"/>
      <c r="E187" s="18">
        <v>343</v>
      </c>
      <c r="F187" s="8">
        <f>SUM(E187/B187)</f>
        <v>0.36373276776246022</v>
      </c>
      <c r="G187" s="18">
        <v>50</v>
      </c>
      <c r="H187" s="8">
        <f>SUM(G187/E187)</f>
        <v>0.1457725947521866</v>
      </c>
    </row>
    <row r="188" spans="1:8" ht="24.95" customHeight="1" x14ac:dyDescent="0.25">
      <c r="A188" s="24" t="s">
        <v>164</v>
      </c>
      <c r="B188" s="12">
        <v>541</v>
      </c>
      <c r="C188" s="18">
        <v>30</v>
      </c>
      <c r="D188" s="8">
        <f>SUM(C188/B188)</f>
        <v>5.545286506469501E-2</v>
      </c>
      <c r="E188" s="18">
        <v>155</v>
      </c>
      <c r="F188" s="8">
        <f>SUM(E188/B188)</f>
        <v>0.28650646950092423</v>
      </c>
      <c r="G188" s="18">
        <v>14</v>
      </c>
      <c r="H188" s="8">
        <f>SUM(G188/E188)</f>
        <v>9.0322580645161285E-2</v>
      </c>
    </row>
    <row r="189" spans="1:8" ht="24.95" customHeight="1" x14ac:dyDescent="0.25">
      <c r="A189" s="24" t="s">
        <v>192</v>
      </c>
      <c r="B189" s="12">
        <v>1534</v>
      </c>
      <c r="C189" s="18"/>
      <c r="D189" s="8"/>
      <c r="E189" s="18">
        <v>576</v>
      </c>
      <c r="F189" s="8">
        <f>SUM(E189/B189)</f>
        <v>0.37548891786179922</v>
      </c>
      <c r="G189" s="18">
        <v>26</v>
      </c>
      <c r="H189" s="8">
        <f>SUM(G189/E189)</f>
        <v>4.5138888888888888E-2</v>
      </c>
    </row>
    <row r="190" spans="1:8" ht="24.95" customHeight="1" x14ac:dyDescent="0.25">
      <c r="A190" s="24" t="s">
        <v>165</v>
      </c>
      <c r="B190" s="12">
        <v>935</v>
      </c>
      <c r="C190" s="18">
        <v>129</v>
      </c>
      <c r="D190" s="8">
        <f t="shared" ref="D190" si="44">SUM(C190/B190)</f>
        <v>0.13796791443850268</v>
      </c>
      <c r="E190" s="18"/>
      <c r="F190" s="8"/>
      <c r="G190" s="18"/>
      <c r="H190" s="8"/>
    </row>
    <row r="191" spans="1:8" ht="24.95" customHeight="1" x14ac:dyDescent="0.25">
      <c r="A191" s="24" t="s">
        <v>166</v>
      </c>
      <c r="B191" s="12">
        <v>1707</v>
      </c>
      <c r="C191" s="18">
        <v>53</v>
      </c>
      <c r="D191" s="8">
        <f t="shared" ref="D191:D196" si="45">SUM(C191/B191)</f>
        <v>3.1048623315758642E-2</v>
      </c>
      <c r="E191" s="18">
        <v>699</v>
      </c>
      <c r="F191" s="8">
        <f>SUM(E191/B191)</f>
        <v>0.4094903339191564</v>
      </c>
      <c r="G191" s="18">
        <v>85</v>
      </c>
      <c r="H191" s="8">
        <f>SUM(G191/E191)</f>
        <v>0.12160228898426323</v>
      </c>
    </row>
    <row r="192" spans="1:8" ht="24.95" customHeight="1" x14ac:dyDescent="0.25">
      <c r="A192" s="24" t="s">
        <v>167</v>
      </c>
      <c r="B192" s="12">
        <v>2540</v>
      </c>
      <c r="C192" s="18">
        <v>160</v>
      </c>
      <c r="D192" s="8">
        <f t="shared" si="45"/>
        <v>6.2992125984251968E-2</v>
      </c>
      <c r="E192" s="18">
        <v>1078</v>
      </c>
      <c r="F192" s="8">
        <f>SUM(E192/B192)</f>
        <v>0.42440944881889764</v>
      </c>
      <c r="G192" s="18">
        <v>61</v>
      </c>
      <c r="H192" s="8">
        <f>SUM(G192/E192)</f>
        <v>5.6586270871985159E-2</v>
      </c>
    </row>
    <row r="193" spans="1:8" ht="24.95" customHeight="1" x14ac:dyDescent="0.25">
      <c r="A193" s="24" t="s">
        <v>168</v>
      </c>
      <c r="B193" s="12">
        <v>487</v>
      </c>
      <c r="C193" s="18">
        <v>80</v>
      </c>
      <c r="D193" s="8">
        <f t="shared" si="45"/>
        <v>0.16427104722792607</v>
      </c>
      <c r="E193" s="18"/>
      <c r="F193" s="8"/>
      <c r="G193" s="18"/>
      <c r="H193" s="8"/>
    </row>
    <row r="194" spans="1:8" ht="24.95" customHeight="1" x14ac:dyDescent="0.25">
      <c r="A194" s="24" t="s">
        <v>169</v>
      </c>
      <c r="B194" s="12">
        <v>594</v>
      </c>
      <c r="C194" s="18">
        <v>60</v>
      </c>
      <c r="D194" s="8">
        <f t="shared" si="45"/>
        <v>0.10101010101010101</v>
      </c>
      <c r="E194" s="18"/>
      <c r="F194" s="8"/>
      <c r="G194" s="18"/>
      <c r="H194" s="8"/>
    </row>
    <row r="195" spans="1:8" ht="24.95" customHeight="1" x14ac:dyDescent="0.25">
      <c r="A195" s="24" t="s">
        <v>220</v>
      </c>
      <c r="B195" s="12">
        <v>264</v>
      </c>
      <c r="C195" s="18">
        <v>75</v>
      </c>
      <c r="D195" s="8">
        <f t="shared" si="45"/>
        <v>0.28409090909090912</v>
      </c>
      <c r="E195" s="18"/>
      <c r="F195" s="8"/>
      <c r="G195" s="18"/>
      <c r="H195" s="8"/>
    </row>
    <row r="196" spans="1:8" ht="24.95" customHeight="1" x14ac:dyDescent="0.25">
      <c r="A196" s="24" t="s">
        <v>34</v>
      </c>
      <c r="B196" s="12">
        <v>890</v>
      </c>
      <c r="C196" s="18">
        <v>105</v>
      </c>
      <c r="D196" s="8">
        <f t="shared" si="45"/>
        <v>0.11797752808988764</v>
      </c>
      <c r="E196" s="18">
        <v>386</v>
      </c>
      <c r="F196" s="8"/>
      <c r="G196" s="18">
        <v>34</v>
      </c>
      <c r="H196" s="8">
        <f t="shared" ref="H196" si="46">SUM(G196/E196)</f>
        <v>8.8082901554404139E-2</v>
      </c>
    </row>
    <row r="197" spans="1:8" ht="24.95" customHeight="1" x14ac:dyDescent="0.25">
      <c r="A197" s="24" t="s">
        <v>193</v>
      </c>
      <c r="B197" s="12">
        <v>2450</v>
      </c>
      <c r="C197" s="18"/>
      <c r="D197" s="8"/>
      <c r="E197" s="18">
        <v>798</v>
      </c>
      <c r="F197" s="8">
        <f>SUM(E197/B197)</f>
        <v>0.32571428571428573</v>
      </c>
      <c r="G197" s="18">
        <v>112</v>
      </c>
      <c r="H197" s="8">
        <f>SUM(G197/E197)</f>
        <v>0.14035087719298245</v>
      </c>
    </row>
    <row r="198" spans="1:8" ht="24.95" customHeight="1" x14ac:dyDescent="0.25">
      <c r="A198" s="24" t="s">
        <v>170</v>
      </c>
      <c r="B198" s="12">
        <v>7900</v>
      </c>
      <c r="C198" s="18"/>
      <c r="D198" s="8"/>
      <c r="E198" s="18">
        <v>3533</v>
      </c>
      <c r="F198" s="8">
        <f>SUM(E198/B198)</f>
        <v>0.44721518987341774</v>
      </c>
      <c r="G198" s="18">
        <v>579</v>
      </c>
      <c r="H198" s="8">
        <f>SUM(G198/E198)</f>
        <v>0.16388338522502122</v>
      </c>
    </row>
    <row r="199" spans="1:8" ht="24.95" customHeight="1" x14ac:dyDescent="0.25">
      <c r="A199" s="24" t="s">
        <v>35</v>
      </c>
      <c r="B199" s="12">
        <v>1620</v>
      </c>
      <c r="C199" s="18">
        <v>80</v>
      </c>
      <c r="D199" s="8">
        <f>SUM(C199/B199)</f>
        <v>4.9382716049382713E-2</v>
      </c>
      <c r="E199" s="18">
        <v>528</v>
      </c>
      <c r="F199" s="8">
        <f>SUM(E199/B199)</f>
        <v>0.32592592592592595</v>
      </c>
      <c r="G199" s="18">
        <v>49</v>
      </c>
      <c r="H199" s="8">
        <f>SUM(G199/E199)</f>
        <v>9.2803030303030304E-2</v>
      </c>
    </row>
    <row r="200" spans="1:8" ht="24.95" customHeight="1" x14ac:dyDescent="0.25">
      <c r="A200" s="24" t="s">
        <v>171</v>
      </c>
      <c r="B200" s="12">
        <v>329</v>
      </c>
      <c r="C200" s="18">
        <v>110</v>
      </c>
      <c r="D200" s="8">
        <f>SUM(C200/B200)</f>
        <v>0.33434650455927051</v>
      </c>
      <c r="E200" s="18"/>
      <c r="F200" s="8"/>
      <c r="G200" s="18"/>
      <c r="H200" s="8"/>
    </row>
    <row r="201" spans="1:8" ht="24.95" customHeight="1" x14ac:dyDescent="0.25">
      <c r="A201" s="24" t="s">
        <v>172</v>
      </c>
      <c r="B201" s="12">
        <v>3163</v>
      </c>
      <c r="C201" s="18"/>
      <c r="D201" s="8"/>
      <c r="E201" s="18">
        <v>2112</v>
      </c>
      <c r="F201" s="8">
        <f>SUM(E201/B201)</f>
        <v>0.66772051849509961</v>
      </c>
      <c r="G201" s="18">
        <v>112</v>
      </c>
      <c r="H201" s="8">
        <f>SUM(G201/E201)</f>
        <v>5.3030303030303032E-2</v>
      </c>
    </row>
    <row r="202" spans="1:8" ht="24.95" customHeight="1" x14ac:dyDescent="0.25">
      <c r="A202" s="24" t="s">
        <v>173</v>
      </c>
      <c r="B202" s="12">
        <v>752</v>
      </c>
      <c r="C202" s="18">
        <v>75</v>
      </c>
      <c r="D202" s="8">
        <f t="shared" ref="D202" si="47">SUM(C202/B202)</f>
        <v>9.9734042553191488E-2</v>
      </c>
      <c r="E202" s="18">
        <v>295</v>
      </c>
      <c r="F202" s="8">
        <f>SUM(E202/B202)</f>
        <v>0.39228723404255317</v>
      </c>
      <c r="G202" s="18">
        <v>35</v>
      </c>
      <c r="H202" s="8">
        <f>SUM(G202/E202)</f>
        <v>0.11864406779661017</v>
      </c>
    </row>
    <row r="203" spans="1:8" ht="24.95" customHeight="1" x14ac:dyDescent="0.25">
      <c r="A203" s="24" t="s">
        <v>174</v>
      </c>
      <c r="B203" s="12">
        <v>1132</v>
      </c>
      <c r="C203" s="18">
        <v>180</v>
      </c>
      <c r="D203" s="8">
        <f>SUM(C203/B203)</f>
        <v>0.15901060070671377</v>
      </c>
      <c r="E203" s="18">
        <v>345</v>
      </c>
      <c r="F203" s="8">
        <f>SUM(E203/B203)</f>
        <v>0.30477031802120141</v>
      </c>
      <c r="G203" s="18">
        <v>33</v>
      </c>
      <c r="H203" s="8">
        <f>SUM(G203/E203)</f>
        <v>9.5652173913043481E-2</v>
      </c>
    </row>
    <row r="204" spans="1:8" ht="24.95" customHeight="1" x14ac:dyDescent="0.25">
      <c r="A204" s="24" t="s">
        <v>175</v>
      </c>
      <c r="B204" s="12">
        <v>262</v>
      </c>
      <c r="C204" s="18">
        <v>14</v>
      </c>
      <c r="D204" s="8">
        <f>SUM(C204/B204)</f>
        <v>5.3435114503816793E-2</v>
      </c>
      <c r="E204" s="18">
        <v>101</v>
      </c>
      <c r="F204" s="8">
        <f>SUM(E204/B204)</f>
        <v>0.38549618320610685</v>
      </c>
      <c r="G204" s="18">
        <v>11</v>
      </c>
      <c r="H204" s="8">
        <f>SUM(G204/E204)</f>
        <v>0.10891089108910891</v>
      </c>
    </row>
    <row r="205" spans="1:8" ht="24.95" customHeight="1" thickBot="1" x14ac:dyDescent="0.3">
      <c r="A205" s="24" t="s">
        <v>189</v>
      </c>
      <c r="B205" s="28">
        <v>2900</v>
      </c>
      <c r="C205" s="29"/>
      <c r="D205" s="30"/>
      <c r="E205" s="29">
        <v>1347</v>
      </c>
      <c r="F205" s="30">
        <f>SUM(E205/B205)</f>
        <v>0.46448275862068966</v>
      </c>
      <c r="G205" s="29">
        <v>148</v>
      </c>
      <c r="H205" s="30">
        <f>SUM(G205/E205)</f>
        <v>0.10987379361544172</v>
      </c>
    </row>
    <row r="206" spans="1:8" customFormat="1" ht="16.5" thickTop="1" thickBot="1" x14ac:dyDescent="0.3">
      <c r="A206" s="3" t="s">
        <v>7</v>
      </c>
      <c r="B206" s="31">
        <v>169544</v>
      </c>
      <c r="C206" s="4">
        <f>SUM(C4:C205)</f>
        <v>12932</v>
      </c>
      <c r="D206" s="5">
        <f>SUM(C206/B206)</f>
        <v>7.6275185202661258E-2</v>
      </c>
      <c r="E206" s="4"/>
      <c r="F206" s="5"/>
      <c r="G206" s="4"/>
      <c r="H206" s="5"/>
    </row>
    <row r="207" spans="1:8" customFormat="1" ht="16.5" thickTop="1" thickBot="1" x14ac:dyDescent="0.3">
      <c r="A207" s="3" t="s">
        <v>8</v>
      </c>
      <c r="B207" s="4">
        <v>361388</v>
      </c>
      <c r="C207" s="4"/>
      <c r="D207" s="5"/>
      <c r="E207" s="11">
        <f>SUM(E5:E205)</f>
        <v>133237</v>
      </c>
      <c r="F207" s="5">
        <f>SUM(E207/B207)</f>
        <v>0.36868130651820202</v>
      </c>
      <c r="G207" s="4">
        <f>SUM(G4:G205)</f>
        <v>24123</v>
      </c>
      <c r="H207" s="5">
        <f>SUM(G207/E207)</f>
        <v>0.18105331101720992</v>
      </c>
    </row>
    <row r="208" spans="1:8" ht="15.75" thickTop="1" x14ac:dyDescent="0.25"/>
    <row r="210" spans="1:7" x14ac:dyDescent="0.25">
      <c r="F210" s="9"/>
      <c r="G210" s="9"/>
    </row>
    <row r="211" spans="1:7" x14ac:dyDescent="0.25">
      <c r="F211" s="9"/>
      <c r="G211" s="9"/>
    </row>
    <row r="212" spans="1:7" x14ac:dyDescent="0.25">
      <c r="F212" s="9"/>
      <c r="G212" s="9"/>
    </row>
    <row r="213" spans="1:7" x14ac:dyDescent="0.25">
      <c r="F213" s="9"/>
      <c r="G213" s="9"/>
    </row>
    <row r="214" spans="1:7" x14ac:dyDescent="0.25">
      <c r="C214" s="27"/>
      <c r="F214" s="9"/>
      <c r="G214" s="9"/>
    </row>
    <row r="215" spans="1:7" x14ac:dyDescent="0.25">
      <c r="F215" s="9"/>
      <c r="G215" s="9"/>
    </row>
    <row r="216" spans="1:7" x14ac:dyDescent="0.25">
      <c r="F216" s="9"/>
      <c r="G216" s="9"/>
    </row>
    <row r="217" spans="1:7" x14ac:dyDescent="0.25">
      <c r="F217" s="9"/>
      <c r="G217" s="9"/>
    </row>
    <row r="218" spans="1:7" x14ac:dyDescent="0.25">
      <c r="F218" s="9"/>
      <c r="G218" s="9"/>
    </row>
    <row r="219" spans="1:7" x14ac:dyDescent="0.25">
      <c r="A219" s="6"/>
      <c r="F219" s="9"/>
      <c r="G219" s="9"/>
    </row>
    <row r="220" spans="1:7" x14ac:dyDescent="0.25">
      <c r="A220" s="6"/>
      <c r="F220" s="9"/>
      <c r="G220" s="9"/>
    </row>
    <row r="221" spans="1:7" x14ac:dyDescent="0.25">
      <c r="A221" s="6"/>
      <c r="F221" s="9"/>
      <c r="G221" s="9"/>
    </row>
    <row r="222" spans="1:7" x14ac:dyDescent="0.25">
      <c r="A222" s="6"/>
      <c r="F222" s="9"/>
      <c r="G222" s="9"/>
    </row>
    <row r="223" spans="1:7" x14ac:dyDescent="0.25">
      <c r="A223" s="6"/>
      <c r="F223" s="9"/>
      <c r="G223" s="9"/>
    </row>
    <row r="224" spans="1:7" x14ac:dyDescent="0.25">
      <c r="A224" s="6"/>
      <c r="F224" s="9"/>
      <c r="G224" s="9"/>
    </row>
    <row r="225" spans="1:7" x14ac:dyDescent="0.25">
      <c r="A225" s="6"/>
      <c r="F225" s="9"/>
      <c r="G225" s="9"/>
    </row>
    <row r="226" spans="1:7" x14ac:dyDescent="0.25">
      <c r="A226" s="6"/>
      <c r="F226" s="9"/>
      <c r="G226" s="9"/>
    </row>
    <row r="227" spans="1:7" x14ac:dyDescent="0.25">
      <c r="A227" s="6"/>
      <c r="F227" s="9"/>
      <c r="G227" s="9"/>
    </row>
    <row r="228" spans="1:7" x14ac:dyDescent="0.25">
      <c r="A228" s="6"/>
      <c r="F228" s="9"/>
      <c r="G228" s="9"/>
    </row>
    <row r="229" spans="1:7" x14ac:dyDescent="0.25">
      <c r="A229" s="6"/>
      <c r="F229" s="9"/>
      <c r="G229" s="9"/>
    </row>
    <row r="230" spans="1:7" x14ac:dyDescent="0.25">
      <c r="A230" s="6"/>
      <c r="F230" s="9"/>
      <c r="G230" s="9"/>
    </row>
    <row r="231" spans="1:7" x14ac:dyDescent="0.25">
      <c r="A231" s="6"/>
      <c r="F231" s="9"/>
      <c r="G231" s="9"/>
    </row>
    <row r="232" spans="1:7" x14ac:dyDescent="0.25">
      <c r="A232" s="6"/>
      <c r="F232" s="9"/>
      <c r="G232" s="9"/>
    </row>
    <row r="233" spans="1:7" x14ac:dyDescent="0.25">
      <c r="A233" s="6"/>
      <c r="F233" s="9"/>
      <c r="G233" s="9"/>
    </row>
    <row r="234" spans="1:7" x14ac:dyDescent="0.25">
      <c r="A234" s="6"/>
      <c r="F234" s="9"/>
      <c r="G234" s="9"/>
    </row>
    <row r="235" spans="1:7" x14ac:dyDescent="0.25">
      <c r="A235" s="6"/>
      <c r="F235" s="9"/>
      <c r="G235" s="9"/>
    </row>
    <row r="236" spans="1:7" x14ac:dyDescent="0.25">
      <c r="A236" s="6"/>
      <c r="F236" s="9"/>
      <c r="G236" s="9"/>
    </row>
    <row r="237" spans="1:7" x14ac:dyDescent="0.25">
      <c r="A237" s="6"/>
      <c r="F237" s="9"/>
      <c r="G237" s="9"/>
    </row>
    <row r="238" spans="1:7" x14ac:dyDescent="0.25">
      <c r="A238" s="6"/>
      <c r="F238" s="9"/>
      <c r="G238" s="9"/>
    </row>
    <row r="239" spans="1:7" x14ac:dyDescent="0.25">
      <c r="A239" s="6"/>
      <c r="F239" s="9"/>
      <c r="G239" s="9"/>
    </row>
    <row r="240" spans="1:7" x14ac:dyDescent="0.25">
      <c r="A240" s="6"/>
      <c r="F240" s="9"/>
      <c r="G240" s="9"/>
    </row>
    <row r="241" spans="1:7" x14ac:dyDescent="0.25">
      <c r="A241" s="6"/>
      <c r="F241" s="9"/>
      <c r="G241" s="9"/>
    </row>
    <row r="242" spans="1:7" x14ac:dyDescent="0.25">
      <c r="A242" s="6"/>
      <c r="F242" s="9"/>
      <c r="G242" s="9"/>
    </row>
    <row r="243" spans="1:7" x14ac:dyDescent="0.25">
      <c r="A243" s="6"/>
      <c r="F243" s="9"/>
      <c r="G243" s="9"/>
    </row>
    <row r="244" spans="1:7" x14ac:dyDescent="0.25">
      <c r="A244" s="6"/>
      <c r="F244" s="9"/>
      <c r="G244" s="9"/>
    </row>
    <row r="245" spans="1:7" x14ac:dyDescent="0.25">
      <c r="A245" s="6"/>
      <c r="F245" s="9"/>
      <c r="G245" s="9"/>
    </row>
    <row r="246" spans="1:7" x14ac:dyDescent="0.25">
      <c r="A246" s="6"/>
      <c r="F246" s="9"/>
      <c r="G246" s="9"/>
    </row>
    <row r="247" spans="1:7" x14ac:dyDescent="0.25">
      <c r="A247" s="6"/>
      <c r="F247" s="9"/>
      <c r="G247" s="9"/>
    </row>
    <row r="248" spans="1:7" x14ac:dyDescent="0.25">
      <c r="A248" s="6"/>
      <c r="F248" s="9"/>
      <c r="G248" s="9"/>
    </row>
    <row r="249" spans="1:7" x14ac:dyDescent="0.25">
      <c r="A249" s="6"/>
      <c r="F249" s="9"/>
      <c r="G249" s="9"/>
    </row>
    <row r="250" spans="1:7" x14ac:dyDescent="0.25">
      <c r="A250" s="6"/>
      <c r="F250" s="9"/>
      <c r="G250" s="9"/>
    </row>
    <row r="251" spans="1:7" x14ac:dyDescent="0.25">
      <c r="A251" s="6"/>
      <c r="F251" s="9"/>
      <c r="G251" s="9"/>
    </row>
    <row r="252" spans="1:7" x14ac:dyDescent="0.25">
      <c r="A252" s="6"/>
      <c r="F252" s="9"/>
      <c r="G252" s="9"/>
    </row>
    <row r="253" spans="1:7" x14ac:dyDescent="0.25">
      <c r="A253" s="6"/>
      <c r="F253" s="9"/>
      <c r="G253" s="9"/>
    </row>
    <row r="254" spans="1:7" x14ac:dyDescent="0.25">
      <c r="A254" s="6"/>
      <c r="F254" s="9"/>
      <c r="G254" s="9"/>
    </row>
    <row r="255" spans="1:7" x14ac:dyDescent="0.25">
      <c r="A255" s="6"/>
      <c r="F255" s="9"/>
      <c r="G255" s="9"/>
    </row>
    <row r="256" spans="1:7" x14ac:dyDescent="0.25">
      <c r="A256" s="6"/>
      <c r="F256" s="9"/>
      <c r="G256" s="9"/>
    </row>
    <row r="257" spans="1:7" x14ac:dyDescent="0.25">
      <c r="A257" s="6"/>
      <c r="F257" s="9"/>
      <c r="G257" s="9"/>
    </row>
    <row r="258" spans="1:7" x14ac:dyDescent="0.25">
      <c r="A258" s="6"/>
      <c r="F258" s="9"/>
      <c r="G258" s="9"/>
    </row>
    <row r="259" spans="1:7" x14ac:dyDescent="0.25">
      <c r="A259" s="6"/>
      <c r="F259" s="9"/>
      <c r="G259" s="9"/>
    </row>
    <row r="260" spans="1:7" x14ac:dyDescent="0.25">
      <c r="A260" s="6"/>
      <c r="F260" s="9"/>
      <c r="G260" s="9"/>
    </row>
    <row r="261" spans="1:7" x14ac:dyDescent="0.25">
      <c r="A261" s="6"/>
      <c r="F261" s="9"/>
      <c r="G261" s="9"/>
    </row>
    <row r="262" spans="1:7" x14ac:dyDescent="0.25">
      <c r="A262" s="6"/>
      <c r="F262" s="9"/>
      <c r="G262" s="9"/>
    </row>
    <row r="263" spans="1:7" x14ac:dyDescent="0.25">
      <c r="A263" s="6"/>
      <c r="F263" s="9"/>
      <c r="G263" s="9"/>
    </row>
    <row r="264" spans="1:7" x14ac:dyDescent="0.25">
      <c r="A264" s="6"/>
      <c r="F264" s="9"/>
      <c r="G264" s="9"/>
    </row>
    <row r="265" spans="1:7" x14ac:dyDescent="0.25">
      <c r="A265" s="6"/>
      <c r="F265" s="9"/>
      <c r="G265" s="9"/>
    </row>
    <row r="266" spans="1:7" x14ac:dyDescent="0.25">
      <c r="A266" s="6"/>
      <c r="F266" s="9"/>
      <c r="G266" s="9"/>
    </row>
    <row r="267" spans="1:7" x14ac:dyDescent="0.25">
      <c r="A267" s="6"/>
      <c r="F267" s="9"/>
      <c r="G267" s="9"/>
    </row>
    <row r="268" spans="1:7" x14ac:dyDescent="0.25">
      <c r="A268" s="6"/>
      <c r="F268" s="9"/>
      <c r="G268" s="9"/>
    </row>
    <row r="269" spans="1:7" x14ac:dyDescent="0.25">
      <c r="A269" s="6"/>
      <c r="F269" s="9"/>
      <c r="G269" s="9"/>
    </row>
    <row r="270" spans="1:7" x14ac:dyDescent="0.25">
      <c r="A270" s="6"/>
      <c r="F270" s="9"/>
      <c r="G270" s="9"/>
    </row>
    <row r="271" spans="1:7" x14ac:dyDescent="0.25">
      <c r="A271" s="6"/>
      <c r="F271" s="9"/>
      <c r="G271" s="9"/>
    </row>
    <row r="272" spans="1:7" x14ac:dyDescent="0.25">
      <c r="A272" s="6"/>
      <c r="F272" s="9"/>
      <c r="G272" s="9"/>
    </row>
    <row r="273" spans="1:7" x14ac:dyDescent="0.25">
      <c r="A273" s="6"/>
      <c r="F273" s="9"/>
      <c r="G273" s="9"/>
    </row>
    <row r="274" spans="1:7" x14ac:dyDescent="0.25">
      <c r="A274" s="6"/>
      <c r="F274" s="9"/>
      <c r="G274" s="9"/>
    </row>
    <row r="275" spans="1:7" x14ac:dyDescent="0.25">
      <c r="A275" s="6"/>
      <c r="F275" s="9"/>
      <c r="G275" s="9"/>
    </row>
    <row r="276" spans="1:7" x14ac:dyDescent="0.25">
      <c r="A276" s="6"/>
      <c r="F276" s="9"/>
      <c r="G276" s="9"/>
    </row>
    <row r="277" spans="1:7" x14ac:dyDescent="0.25">
      <c r="A277" s="6"/>
      <c r="F277" s="9"/>
      <c r="G277" s="9"/>
    </row>
    <row r="278" spans="1:7" x14ac:dyDescent="0.25">
      <c r="A278" s="6"/>
      <c r="F278" s="9"/>
      <c r="G278" s="9"/>
    </row>
    <row r="279" spans="1:7" x14ac:dyDescent="0.25">
      <c r="A279" s="6"/>
      <c r="F279" s="9"/>
      <c r="G279" s="9"/>
    </row>
    <row r="280" spans="1:7" x14ac:dyDescent="0.25">
      <c r="A280" s="6"/>
      <c r="F280" s="9"/>
      <c r="G280" s="9"/>
    </row>
    <row r="281" spans="1:7" x14ac:dyDescent="0.25">
      <c r="A281" s="6"/>
      <c r="F281" s="9"/>
      <c r="G281" s="9"/>
    </row>
    <row r="282" spans="1:7" x14ac:dyDescent="0.25">
      <c r="A282" s="6"/>
      <c r="F282" s="9"/>
      <c r="G282" s="9"/>
    </row>
    <row r="283" spans="1:7" x14ac:dyDescent="0.25">
      <c r="A283" s="6"/>
      <c r="F283" s="9"/>
      <c r="G283" s="9"/>
    </row>
    <row r="284" spans="1:7" x14ac:dyDescent="0.25">
      <c r="A284" s="6"/>
      <c r="F284" s="9"/>
      <c r="G284" s="9"/>
    </row>
    <row r="285" spans="1:7" x14ac:dyDescent="0.25">
      <c r="A285" s="6"/>
      <c r="F285" s="9"/>
      <c r="G285" s="9"/>
    </row>
    <row r="286" spans="1:7" x14ac:dyDescent="0.25">
      <c r="A286" s="6"/>
      <c r="F286" s="9"/>
      <c r="G286" s="9"/>
    </row>
    <row r="287" spans="1:7" x14ac:dyDescent="0.25">
      <c r="A287" s="6"/>
      <c r="F287" s="9"/>
      <c r="G287" s="9"/>
    </row>
    <row r="288" spans="1:7" x14ac:dyDescent="0.25">
      <c r="A288" s="6"/>
      <c r="F288" s="9"/>
      <c r="G288" s="9"/>
    </row>
    <row r="289" spans="1:7" x14ac:dyDescent="0.25">
      <c r="A289" s="6"/>
      <c r="F289" s="9"/>
      <c r="G289" s="9"/>
    </row>
    <row r="290" spans="1:7" x14ac:dyDescent="0.25">
      <c r="A290" s="6"/>
      <c r="F290" s="9"/>
      <c r="G290" s="9"/>
    </row>
    <row r="291" spans="1:7" x14ac:dyDescent="0.25">
      <c r="A291" s="6"/>
      <c r="F291" s="9"/>
      <c r="G291" s="9"/>
    </row>
    <row r="292" spans="1:7" x14ac:dyDescent="0.25">
      <c r="A292" s="6"/>
      <c r="F292" s="9"/>
      <c r="G292" s="9"/>
    </row>
    <row r="293" spans="1:7" x14ac:dyDescent="0.25">
      <c r="A293" s="6"/>
      <c r="F293" s="9"/>
      <c r="G293" s="9"/>
    </row>
    <row r="294" spans="1:7" x14ac:dyDescent="0.25">
      <c r="A294" s="6"/>
      <c r="F294" s="9"/>
      <c r="G294" s="9"/>
    </row>
    <row r="295" spans="1:7" x14ac:dyDescent="0.25">
      <c r="A295" s="6"/>
      <c r="F295" s="9"/>
      <c r="G295" s="9"/>
    </row>
    <row r="296" spans="1:7" x14ac:dyDescent="0.25">
      <c r="A296" s="6"/>
      <c r="F296" s="9"/>
      <c r="G296" s="9"/>
    </row>
    <row r="297" spans="1:7" x14ac:dyDescent="0.25">
      <c r="A297" s="6"/>
      <c r="F297" s="9"/>
      <c r="G297" s="9"/>
    </row>
    <row r="298" spans="1:7" x14ac:dyDescent="0.25">
      <c r="A298" s="6"/>
      <c r="F298" s="9"/>
      <c r="G298" s="9"/>
    </row>
    <row r="299" spans="1:7" x14ac:dyDescent="0.25">
      <c r="A299" s="6"/>
      <c r="F299" s="9"/>
      <c r="G299" s="9"/>
    </row>
    <row r="300" spans="1:7" x14ac:dyDescent="0.25">
      <c r="A300" s="6"/>
      <c r="F300" s="9"/>
      <c r="G300" s="9"/>
    </row>
    <row r="301" spans="1:7" x14ac:dyDescent="0.25">
      <c r="A301" s="6"/>
      <c r="F301" s="9"/>
      <c r="G301" s="9"/>
    </row>
    <row r="302" spans="1:7" x14ac:dyDescent="0.25">
      <c r="A302" s="6"/>
      <c r="F302" s="9"/>
      <c r="G302" s="9"/>
    </row>
    <row r="303" spans="1:7" x14ac:dyDescent="0.25">
      <c r="A303" s="6"/>
      <c r="F303" s="9"/>
      <c r="G303" s="9"/>
    </row>
    <row r="304" spans="1:7" x14ac:dyDescent="0.25">
      <c r="A304" s="6"/>
      <c r="F304" s="9"/>
      <c r="G304" s="9"/>
    </row>
    <row r="305" spans="1:7" x14ac:dyDescent="0.25">
      <c r="A305" s="6"/>
      <c r="F305" s="9"/>
      <c r="G305" s="9"/>
    </row>
    <row r="306" spans="1:7" x14ac:dyDescent="0.25">
      <c r="A306" s="6"/>
      <c r="F306" s="9"/>
      <c r="G306" s="9"/>
    </row>
    <row r="307" spans="1:7" x14ac:dyDescent="0.25">
      <c r="A307" s="6"/>
      <c r="F307" s="9"/>
      <c r="G307" s="9"/>
    </row>
    <row r="308" spans="1:7" x14ac:dyDescent="0.25">
      <c r="A308" s="6"/>
      <c r="F308" s="9"/>
      <c r="G308" s="9"/>
    </row>
    <row r="309" spans="1:7" x14ac:dyDescent="0.25">
      <c r="A309" s="6"/>
      <c r="F309" s="9"/>
      <c r="G309" s="9"/>
    </row>
    <row r="310" spans="1:7" x14ac:dyDescent="0.25">
      <c r="A310" s="6"/>
      <c r="F310" s="9"/>
      <c r="G310" s="9"/>
    </row>
    <row r="311" spans="1:7" x14ac:dyDescent="0.25">
      <c r="A311" s="6"/>
      <c r="F311" s="9"/>
      <c r="G311" s="9"/>
    </row>
    <row r="312" spans="1:7" x14ac:dyDescent="0.25">
      <c r="A312" s="6"/>
      <c r="F312" s="9"/>
      <c r="G312" s="9"/>
    </row>
    <row r="313" spans="1:7" x14ac:dyDescent="0.25">
      <c r="A313" s="6"/>
      <c r="F313" s="9"/>
      <c r="G313" s="9"/>
    </row>
    <row r="314" spans="1:7" x14ac:dyDescent="0.25">
      <c r="A314" s="6"/>
      <c r="F314" s="9"/>
      <c r="G314" s="9"/>
    </row>
    <row r="315" spans="1:7" x14ac:dyDescent="0.25">
      <c r="A315" s="6"/>
      <c r="F315" s="9"/>
      <c r="G315" s="9"/>
    </row>
    <row r="316" spans="1:7" x14ac:dyDescent="0.25">
      <c r="A316" s="6"/>
      <c r="F316" s="9"/>
      <c r="G316" s="9"/>
    </row>
    <row r="317" spans="1:7" x14ac:dyDescent="0.25">
      <c r="A317" s="6"/>
      <c r="F317" s="9"/>
      <c r="G317" s="9"/>
    </row>
    <row r="318" spans="1:7" x14ac:dyDescent="0.25">
      <c r="A318" s="6"/>
      <c r="F318" s="9"/>
      <c r="G318" s="9"/>
    </row>
    <row r="319" spans="1:7" x14ac:dyDescent="0.25">
      <c r="A319" s="6"/>
      <c r="F319" s="9"/>
      <c r="G319" s="9"/>
    </row>
    <row r="320" spans="1:7" x14ac:dyDescent="0.25">
      <c r="A320" s="6"/>
      <c r="F320" s="9"/>
      <c r="G320" s="9"/>
    </row>
    <row r="321" spans="1:7" x14ac:dyDescent="0.25">
      <c r="A321" s="6"/>
      <c r="F321" s="9"/>
      <c r="G321" s="9"/>
    </row>
    <row r="322" spans="1:7" x14ac:dyDescent="0.25">
      <c r="A322" s="6"/>
      <c r="F322" s="9"/>
      <c r="G322" s="9"/>
    </row>
    <row r="323" spans="1:7" x14ac:dyDescent="0.25">
      <c r="A323" s="6"/>
      <c r="F323" s="9"/>
      <c r="G323" s="9"/>
    </row>
    <row r="324" spans="1:7" x14ac:dyDescent="0.25">
      <c r="A324" s="6"/>
      <c r="F324" s="9"/>
      <c r="G324" s="9"/>
    </row>
    <row r="325" spans="1:7" x14ac:dyDescent="0.25">
      <c r="A325" s="6"/>
      <c r="F325" s="9"/>
      <c r="G325" s="9"/>
    </row>
    <row r="326" spans="1:7" x14ac:dyDescent="0.25">
      <c r="A326" s="6"/>
      <c r="F326" s="9"/>
      <c r="G326" s="9"/>
    </row>
    <row r="327" spans="1:7" x14ac:dyDescent="0.25">
      <c r="A327" s="6"/>
      <c r="F327" s="9"/>
      <c r="G327" s="9"/>
    </row>
    <row r="328" spans="1:7" x14ac:dyDescent="0.25">
      <c r="A328" s="6"/>
      <c r="F328" s="9"/>
      <c r="G328" s="9"/>
    </row>
    <row r="329" spans="1:7" x14ac:dyDescent="0.25">
      <c r="A329" s="6"/>
      <c r="F329" s="9"/>
      <c r="G329" s="9"/>
    </row>
    <row r="330" spans="1:7" x14ac:dyDescent="0.25">
      <c r="A330" s="6"/>
      <c r="F330" s="9"/>
      <c r="G330" s="9"/>
    </row>
    <row r="331" spans="1:7" x14ac:dyDescent="0.25">
      <c r="A331" s="6"/>
      <c r="F331" s="9"/>
      <c r="G331" s="9"/>
    </row>
    <row r="332" spans="1:7" x14ac:dyDescent="0.25">
      <c r="A332" s="6"/>
      <c r="F332" s="9"/>
      <c r="G332" s="9"/>
    </row>
    <row r="333" spans="1:7" x14ac:dyDescent="0.25">
      <c r="A333" s="6"/>
      <c r="F333" s="9"/>
      <c r="G333" s="9"/>
    </row>
    <row r="334" spans="1:7" x14ac:dyDescent="0.25">
      <c r="A334" s="6"/>
      <c r="F334" s="9"/>
      <c r="G334" s="9"/>
    </row>
    <row r="335" spans="1:7" x14ac:dyDescent="0.25">
      <c r="A335" s="6"/>
      <c r="F335" s="9"/>
      <c r="G335" s="9"/>
    </row>
    <row r="336" spans="1:7" x14ac:dyDescent="0.25">
      <c r="A336" s="6"/>
      <c r="F336" s="9"/>
      <c r="G336" s="9"/>
    </row>
    <row r="337" spans="1:7" x14ac:dyDescent="0.25">
      <c r="A337" s="6"/>
      <c r="F337" s="9"/>
      <c r="G337" s="9"/>
    </row>
    <row r="338" spans="1:7" x14ac:dyDescent="0.25">
      <c r="A338" s="6"/>
      <c r="F338" s="9"/>
      <c r="G338" s="9"/>
    </row>
    <row r="339" spans="1:7" x14ac:dyDescent="0.25">
      <c r="A339" s="6"/>
      <c r="F339" s="9"/>
      <c r="G339" s="9"/>
    </row>
    <row r="340" spans="1:7" x14ac:dyDescent="0.25">
      <c r="A340" s="6"/>
      <c r="F340" s="9"/>
      <c r="G340" s="9"/>
    </row>
    <row r="341" spans="1:7" x14ac:dyDescent="0.25">
      <c r="A341" s="6"/>
      <c r="F341" s="9"/>
      <c r="G341" s="9"/>
    </row>
    <row r="342" spans="1:7" x14ac:dyDescent="0.25">
      <c r="A342" s="6"/>
      <c r="F342" s="9"/>
      <c r="G342" s="9"/>
    </row>
    <row r="343" spans="1:7" x14ac:dyDescent="0.25">
      <c r="A343" s="6"/>
      <c r="F343" s="9"/>
      <c r="G343" s="9"/>
    </row>
    <row r="344" spans="1:7" x14ac:dyDescent="0.25">
      <c r="A344" s="6"/>
      <c r="F344" s="9"/>
      <c r="G344" s="9"/>
    </row>
    <row r="345" spans="1:7" x14ac:dyDescent="0.25">
      <c r="A345" s="6"/>
      <c r="F345" s="9"/>
      <c r="G345" s="9"/>
    </row>
    <row r="346" spans="1:7" x14ac:dyDescent="0.25">
      <c r="A346" s="6"/>
      <c r="F346" s="9"/>
      <c r="G346" s="9"/>
    </row>
    <row r="347" spans="1:7" x14ac:dyDescent="0.25">
      <c r="A347" s="6"/>
      <c r="F347" s="9"/>
      <c r="G347" s="9"/>
    </row>
    <row r="348" spans="1:7" x14ac:dyDescent="0.25">
      <c r="A348" s="6"/>
      <c r="F348" s="9"/>
      <c r="G348" s="9"/>
    </row>
    <row r="349" spans="1:7" x14ac:dyDescent="0.25">
      <c r="A349" s="6"/>
      <c r="F349" s="9"/>
      <c r="G349" s="9"/>
    </row>
    <row r="350" spans="1:7" x14ac:dyDescent="0.25">
      <c r="A350" s="6"/>
      <c r="F350" s="9"/>
      <c r="G350" s="9"/>
    </row>
    <row r="351" spans="1:7" x14ac:dyDescent="0.25">
      <c r="A351" s="6"/>
      <c r="F351" s="9"/>
      <c r="G351" s="9"/>
    </row>
    <row r="352" spans="1:7" x14ac:dyDescent="0.25">
      <c r="A352" s="6"/>
      <c r="F352" s="9"/>
      <c r="G352" s="9"/>
    </row>
    <row r="353" spans="1:7" x14ac:dyDescent="0.25">
      <c r="A353" s="6"/>
      <c r="F353" s="9"/>
      <c r="G353" s="9"/>
    </row>
    <row r="354" spans="1:7" x14ac:dyDescent="0.25">
      <c r="A354" s="6"/>
      <c r="F354" s="9"/>
      <c r="G354" s="9"/>
    </row>
    <row r="355" spans="1:7" x14ac:dyDescent="0.25">
      <c r="A355" s="6"/>
      <c r="F355" s="9"/>
      <c r="G355" s="9"/>
    </row>
    <row r="356" spans="1:7" x14ac:dyDescent="0.25">
      <c r="A356" s="6"/>
      <c r="F356" s="9"/>
      <c r="G356" s="9"/>
    </row>
    <row r="357" spans="1:7" x14ac:dyDescent="0.25">
      <c r="A357" s="6"/>
      <c r="F357" s="9"/>
      <c r="G357" s="9"/>
    </row>
    <row r="358" spans="1:7" x14ac:dyDescent="0.25">
      <c r="A358" s="6"/>
      <c r="F358" s="9"/>
      <c r="G358" s="9"/>
    </row>
    <row r="359" spans="1:7" x14ac:dyDescent="0.25">
      <c r="A359" s="6"/>
      <c r="F359" s="9"/>
      <c r="G359" s="9"/>
    </row>
    <row r="360" spans="1:7" x14ac:dyDescent="0.25">
      <c r="A360" s="6"/>
      <c r="F360" s="9"/>
      <c r="G360" s="9"/>
    </row>
    <row r="361" spans="1:7" x14ac:dyDescent="0.25">
      <c r="A361" s="6"/>
      <c r="F361" s="9"/>
      <c r="G361" s="9"/>
    </row>
    <row r="362" spans="1:7" x14ac:dyDescent="0.25">
      <c r="A362" s="6"/>
      <c r="F362" s="9"/>
      <c r="G362" s="9"/>
    </row>
    <row r="363" spans="1:7" x14ac:dyDescent="0.25">
      <c r="A363" s="6"/>
      <c r="F363" s="9"/>
      <c r="G363" s="9"/>
    </row>
    <row r="364" spans="1:7" x14ac:dyDescent="0.25">
      <c r="A364" s="6"/>
      <c r="F364" s="9"/>
      <c r="G364" s="9"/>
    </row>
    <row r="365" spans="1:7" x14ac:dyDescent="0.25">
      <c r="A365" s="6"/>
      <c r="F365" s="9"/>
      <c r="G365" s="9"/>
    </row>
    <row r="366" spans="1:7" x14ac:dyDescent="0.25">
      <c r="A366" s="6"/>
      <c r="F366" s="9"/>
      <c r="G366" s="9"/>
    </row>
    <row r="367" spans="1:7" x14ac:dyDescent="0.25">
      <c r="A367" s="6"/>
      <c r="F367" s="9"/>
      <c r="G367" s="9"/>
    </row>
    <row r="368" spans="1:7" x14ac:dyDescent="0.25">
      <c r="A368" s="6"/>
      <c r="F368" s="9"/>
      <c r="G368" s="9"/>
    </row>
    <row r="369" spans="1:7" x14ac:dyDescent="0.25">
      <c r="A369" s="6"/>
      <c r="F369" s="9"/>
      <c r="G369" s="9"/>
    </row>
    <row r="370" spans="1:7" x14ac:dyDescent="0.25">
      <c r="A370" s="6"/>
      <c r="F370" s="9"/>
      <c r="G370" s="9"/>
    </row>
    <row r="371" spans="1:7" x14ac:dyDescent="0.25">
      <c r="A371" s="6"/>
      <c r="F371" s="9"/>
      <c r="G371" s="9"/>
    </row>
    <row r="372" spans="1:7" x14ac:dyDescent="0.25">
      <c r="A372" s="6"/>
      <c r="F372" s="9"/>
      <c r="G372" s="9"/>
    </row>
    <row r="373" spans="1:7" x14ac:dyDescent="0.25">
      <c r="A373" s="6"/>
      <c r="F373" s="9"/>
      <c r="G373" s="9"/>
    </row>
    <row r="374" spans="1:7" x14ac:dyDescent="0.25">
      <c r="A374" s="6"/>
      <c r="F374" s="9"/>
      <c r="G374" s="9"/>
    </row>
    <row r="375" spans="1:7" x14ac:dyDescent="0.25">
      <c r="A375" s="6"/>
      <c r="F375" s="9"/>
      <c r="G375" s="9"/>
    </row>
    <row r="376" spans="1:7" x14ac:dyDescent="0.25">
      <c r="A376" s="6"/>
      <c r="F376" s="9"/>
      <c r="G376" s="9"/>
    </row>
    <row r="377" spans="1:7" x14ac:dyDescent="0.25">
      <c r="A377" s="6"/>
      <c r="F377" s="9"/>
      <c r="G377" s="9"/>
    </row>
    <row r="378" spans="1:7" x14ac:dyDescent="0.25">
      <c r="A378" s="6"/>
      <c r="F378" s="9"/>
      <c r="G378" s="9"/>
    </row>
    <row r="379" spans="1:7" x14ac:dyDescent="0.25">
      <c r="A379" s="6"/>
    </row>
    <row r="380" spans="1:7" x14ac:dyDescent="0.25">
      <c r="A380" s="6"/>
    </row>
    <row r="381" spans="1:7" x14ac:dyDescent="0.25">
      <c r="A381" s="6"/>
    </row>
    <row r="382" spans="1:7" x14ac:dyDescent="0.25">
      <c r="A382" s="6"/>
    </row>
    <row r="383" spans="1:7" x14ac:dyDescent="0.25">
      <c r="A383" s="6"/>
    </row>
    <row r="384" spans="1:7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</sheetData>
  <mergeCells count="1">
    <mergeCell ref="A2:F2"/>
  </mergeCells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L168"/>
  <sheetViews>
    <sheetView workbookViewId="0">
      <selection activeCell="G10" sqref="G10"/>
    </sheetView>
  </sheetViews>
  <sheetFormatPr defaultColWidth="8.7109375" defaultRowHeight="15.75" x14ac:dyDescent="0.25"/>
  <cols>
    <col min="1" max="2" width="8.7109375" style="13"/>
    <col min="3" max="4" width="34.42578125" customWidth="1"/>
    <col min="5" max="16384" width="8.7109375" style="13"/>
  </cols>
  <sheetData>
    <row r="1" spans="3:4" ht="45" customHeight="1" x14ac:dyDescent="0.25">
      <c r="C1" s="26" t="s">
        <v>194</v>
      </c>
      <c r="D1" s="26" t="s">
        <v>197</v>
      </c>
    </row>
    <row r="2" spans="3:4" ht="20.100000000000001" customHeight="1" x14ac:dyDescent="0.25">
      <c r="C2" s="20">
        <v>1080</v>
      </c>
      <c r="D2" s="20">
        <v>1080</v>
      </c>
    </row>
    <row r="3" spans="3:4" ht="20.100000000000001" customHeight="1" x14ac:dyDescent="0.25">
      <c r="C3" s="20">
        <v>646</v>
      </c>
      <c r="D3" s="20">
        <v>1987</v>
      </c>
    </row>
    <row r="4" spans="3:4" ht="20.100000000000001" customHeight="1" x14ac:dyDescent="0.25">
      <c r="C4" s="20">
        <v>1987</v>
      </c>
      <c r="D4" s="20">
        <v>960</v>
      </c>
    </row>
    <row r="5" spans="3:4" ht="20.100000000000001" customHeight="1" x14ac:dyDescent="0.25">
      <c r="C5" s="20">
        <v>59</v>
      </c>
      <c r="D5" s="20">
        <v>1406</v>
      </c>
    </row>
    <row r="6" spans="3:4" ht="20.100000000000001" customHeight="1" x14ac:dyDescent="0.25">
      <c r="C6" s="21">
        <v>960</v>
      </c>
      <c r="D6" s="20">
        <v>5548</v>
      </c>
    </row>
    <row r="7" spans="3:4" ht="20.100000000000001" customHeight="1" x14ac:dyDescent="0.25">
      <c r="C7" s="21">
        <v>191</v>
      </c>
      <c r="D7" s="21">
        <v>2002</v>
      </c>
    </row>
    <row r="8" spans="3:4" ht="20.100000000000001" customHeight="1" x14ac:dyDescent="0.25">
      <c r="C8" s="20">
        <v>733</v>
      </c>
      <c r="D8" s="21">
        <v>9592</v>
      </c>
    </row>
    <row r="9" spans="3:4" ht="20.100000000000001" customHeight="1" x14ac:dyDescent="0.25">
      <c r="C9" s="20">
        <v>1406</v>
      </c>
      <c r="D9" s="21">
        <v>765</v>
      </c>
    </row>
    <row r="10" spans="3:4" ht="20.100000000000001" customHeight="1" x14ac:dyDescent="0.25">
      <c r="C10" s="20">
        <v>235</v>
      </c>
      <c r="D10" s="21">
        <v>1044</v>
      </c>
    </row>
    <row r="11" spans="3:4" ht="20.100000000000001" customHeight="1" x14ac:dyDescent="0.25">
      <c r="C11" s="21">
        <v>9592</v>
      </c>
      <c r="D11" s="21">
        <v>162</v>
      </c>
    </row>
    <row r="12" spans="3:4" ht="20.100000000000001" customHeight="1" x14ac:dyDescent="0.25">
      <c r="C12" s="21">
        <v>765</v>
      </c>
      <c r="D12" s="21">
        <v>1004</v>
      </c>
    </row>
    <row r="13" spans="3:4" ht="20.100000000000001" customHeight="1" x14ac:dyDescent="0.25">
      <c r="C13" s="20">
        <v>1528</v>
      </c>
      <c r="D13" s="21">
        <v>3000</v>
      </c>
    </row>
    <row r="14" spans="3:4" ht="20.100000000000001" customHeight="1" x14ac:dyDescent="0.25">
      <c r="C14" s="20">
        <v>1004</v>
      </c>
      <c r="D14" s="21">
        <v>9658</v>
      </c>
    </row>
    <row r="15" spans="3:4" ht="20.100000000000001" customHeight="1" x14ac:dyDescent="0.25">
      <c r="C15" s="20">
        <v>2008</v>
      </c>
      <c r="D15" s="20">
        <v>715</v>
      </c>
    </row>
    <row r="16" spans="3:4" ht="20.100000000000001" customHeight="1" x14ac:dyDescent="0.25">
      <c r="C16" s="20">
        <v>715</v>
      </c>
      <c r="D16" s="20">
        <v>917</v>
      </c>
    </row>
    <row r="17" spans="3:4" ht="20.100000000000001" customHeight="1" x14ac:dyDescent="0.25">
      <c r="C17" s="20">
        <v>917</v>
      </c>
      <c r="D17" s="20">
        <v>3009</v>
      </c>
    </row>
    <row r="18" spans="3:4" ht="20.100000000000001" customHeight="1" x14ac:dyDescent="0.25">
      <c r="C18" s="20">
        <v>3009</v>
      </c>
      <c r="D18" s="20">
        <v>1004</v>
      </c>
    </row>
    <row r="19" spans="3:4" ht="20.100000000000001" customHeight="1" x14ac:dyDescent="0.25">
      <c r="C19" s="21">
        <v>425</v>
      </c>
      <c r="D19" s="20">
        <v>67</v>
      </c>
    </row>
    <row r="20" spans="3:4" ht="20.100000000000001" customHeight="1" x14ac:dyDescent="0.25">
      <c r="C20" s="21">
        <v>656</v>
      </c>
      <c r="D20" s="20">
        <v>1231</v>
      </c>
    </row>
    <row r="21" spans="3:4" ht="20.100000000000001" customHeight="1" x14ac:dyDescent="0.25">
      <c r="C21" s="21">
        <v>67</v>
      </c>
      <c r="D21" s="20">
        <v>36724</v>
      </c>
    </row>
    <row r="22" spans="3:4" ht="20.100000000000001" customHeight="1" x14ac:dyDescent="0.25">
      <c r="C22" s="21">
        <v>1156</v>
      </c>
      <c r="D22" s="21">
        <v>1156</v>
      </c>
    </row>
    <row r="23" spans="3:4" ht="20.100000000000001" customHeight="1" x14ac:dyDescent="0.25">
      <c r="C23" s="21">
        <v>1409</v>
      </c>
      <c r="D23" s="21">
        <v>1409</v>
      </c>
    </row>
    <row r="24" spans="3:4" ht="20.100000000000001" customHeight="1" x14ac:dyDescent="0.25">
      <c r="C24" s="20">
        <v>1074</v>
      </c>
      <c r="D24" s="21">
        <v>675</v>
      </c>
    </row>
    <row r="25" spans="3:4" ht="20.100000000000001" customHeight="1" x14ac:dyDescent="0.25">
      <c r="C25" s="20">
        <v>710</v>
      </c>
      <c r="D25" s="21">
        <v>3144</v>
      </c>
    </row>
    <row r="26" spans="3:4" ht="20.100000000000001" customHeight="1" x14ac:dyDescent="0.25">
      <c r="C26" s="21">
        <v>3344</v>
      </c>
      <c r="D26" s="21">
        <v>1074</v>
      </c>
    </row>
    <row r="27" spans="3:4" ht="20.100000000000001" customHeight="1" x14ac:dyDescent="0.25">
      <c r="C27" s="21">
        <v>956</v>
      </c>
      <c r="D27" s="21">
        <v>2312</v>
      </c>
    </row>
    <row r="28" spans="3:4" ht="20.100000000000001" customHeight="1" x14ac:dyDescent="0.25">
      <c r="C28" s="21">
        <v>2312</v>
      </c>
      <c r="D28" s="21">
        <v>1092</v>
      </c>
    </row>
    <row r="29" spans="3:4" ht="20.100000000000001" customHeight="1" x14ac:dyDescent="0.25">
      <c r="C29" s="21">
        <v>1013</v>
      </c>
      <c r="D29" s="20">
        <v>2012</v>
      </c>
    </row>
    <row r="30" spans="3:4" ht="20.100000000000001" customHeight="1" x14ac:dyDescent="0.25">
      <c r="C30" s="21">
        <v>772</v>
      </c>
      <c r="D30" s="21">
        <v>11518</v>
      </c>
    </row>
    <row r="31" spans="3:4" ht="20.100000000000001" customHeight="1" x14ac:dyDescent="0.25">
      <c r="C31" s="21">
        <v>916</v>
      </c>
      <c r="D31" s="21">
        <v>860</v>
      </c>
    </row>
    <row r="32" spans="3:4" ht="20.100000000000001" customHeight="1" x14ac:dyDescent="0.25">
      <c r="C32" s="21">
        <v>1780</v>
      </c>
      <c r="D32" s="21">
        <v>1036</v>
      </c>
    </row>
    <row r="33" spans="3:4" ht="20.100000000000001" customHeight="1" x14ac:dyDescent="0.25">
      <c r="C33" s="21">
        <v>3442</v>
      </c>
      <c r="D33" s="21">
        <v>1013</v>
      </c>
    </row>
    <row r="34" spans="3:4" ht="20.100000000000001" customHeight="1" x14ac:dyDescent="0.25">
      <c r="C34" s="21">
        <v>1157</v>
      </c>
      <c r="D34" s="21">
        <v>772</v>
      </c>
    </row>
    <row r="35" spans="3:4" ht="20.100000000000001" customHeight="1" x14ac:dyDescent="0.25">
      <c r="C35" s="20">
        <v>2245</v>
      </c>
      <c r="D35" s="21">
        <v>916</v>
      </c>
    </row>
    <row r="36" spans="3:4" ht="20.100000000000001" customHeight="1" x14ac:dyDescent="0.25">
      <c r="C36" s="21">
        <v>881</v>
      </c>
      <c r="D36" s="21">
        <v>1780</v>
      </c>
    </row>
    <row r="37" spans="3:4" ht="20.100000000000001" customHeight="1" x14ac:dyDescent="0.25">
      <c r="C37" s="21">
        <v>744</v>
      </c>
      <c r="D37" s="21">
        <v>3442</v>
      </c>
    </row>
    <row r="38" spans="3:4" ht="20.100000000000001" customHeight="1" x14ac:dyDescent="0.25">
      <c r="C38" s="21">
        <v>16627</v>
      </c>
      <c r="D38" s="21">
        <v>1733</v>
      </c>
    </row>
    <row r="39" spans="3:4" ht="20.100000000000001" customHeight="1" x14ac:dyDescent="0.25">
      <c r="C39" s="21">
        <v>79</v>
      </c>
      <c r="D39" s="21">
        <v>2245</v>
      </c>
    </row>
    <row r="40" spans="3:4" ht="20.100000000000001" customHeight="1" x14ac:dyDescent="0.25">
      <c r="C40" s="21">
        <v>1264</v>
      </c>
      <c r="D40" s="21">
        <v>744</v>
      </c>
    </row>
    <row r="41" spans="3:4" ht="20.100000000000001" customHeight="1" x14ac:dyDescent="0.25">
      <c r="C41" s="21">
        <v>160</v>
      </c>
      <c r="D41" s="21">
        <v>16627</v>
      </c>
    </row>
    <row r="42" spans="3:4" ht="20.100000000000001" customHeight="1" x14ac:dyDescent="0.25">
      <c r="C42" s="21">
        <v>506</v>
      </c>
      <c r="D42" s="21">
        <v>1800</v>
      </c>
    </row>
    <row r="43" spans="3:4" ht="20.100000000000001" customHeight="1" x14ac:dyDescent="0.25">
      <c r="C43" s="21">
        <v>54</v>
      </c>
      <c r="D43" s="20">
        <v>4007</v>
      </c>
    </row>
    <row r="44" spans="3:4" ht="20.100000000000001" customHeight="1" x14ac:dyDescent="0.25">
      <c r="C44" s="16">
        <v>246</v>
      </c>
      <c r="D44" s="20">
        <v>1419</v>
      </c>
    </row>
    <row r="45" spans="3:4" ht="20.100000000000001" customHeight="1" x14ac:dyDescent="0.25">
      <c r="C45" s="16">
        <v>589</v>
      </c>
      <c r="D45" s="21">
        <v>956</v>
      </c>
    </row>
    <row r="46" spans="3:4" ht="20.100000000000001" customHeight="1" x14ac:dyDescent="0.25">
      <c r="C46" s="16">
        <v>749</v>
      </c>
      <c r="D46" s="21">
        <v>3816</v>
      </c>
    </row>
    <row r="47" spans="3:4" ht="20.100000000000001" customHeight="1" x14ac:dyDescent="0.25">
      <c r="C47" s="21">
        <v>192</v>
      </c>
      <c r="D47" s="21">
        <v>160</v>
      </c>
    </row>
    <row r="48" spans="3:4" ht="20.100000000000001" customHeight="1" x14ac:dyDescent="0.25">
      <c r="C48" s="21">
        <v>580</v>
      </c>
      <c r="D48" s="21">
        <v>506</v>
      </c>
    </row>
    <row r="49" spans="3:12" ht="20.100000000000001" customHeight="1" x14ac:dyDescent="0.25">
      <c r="C49" s="21">
        <v>296</v>
      </c>
      <c r="D49" s="21">
        <v>192</v>
      </c>
    </row>
    <row r="50" spans="3:12" ht="20.100000000000001" customHeight="1" x14ac:dyDescent="0.25">
      <c r="C50" s="21">
        <v>2714</v>
      </c>
      <c r="D50" s="21">
        <v>1770</v>
      </c>
    </row>
    <row r="51" spans="3:12" ht="20.100000000000001" customHeight="1" x14ac:dyDescent="0.25">
      <c r="C51" s="20">
        <v>2270</v>
      </c>
      <c r="D51" s="21">
        <v>580</v>
      </c>
    </row>
    <row r="52" spans="3:12" ht="20.100000000000001" customHeight="1" x14ac:dyDescent="0.25">
      <c r="C52" s="20">
        <v>435</v>
      </c>
      <c r="D52" s="21">
        <v>9599</v>
      </c>
    </row>
    <row r="53" spans="3:12" ht="20.100000000000001" customHeight="1" x14ac:dyDescent="0.25">
      <c r="C53" s="20">
        <v>540</v>
      </c>
      <c r="D53" s="20">
        <v>2714</v>
      </c>
      <c r="L53" s="20"/>
    </row>
    <row r="54" spans="3:12" ht="20.100000000000001" customHeight="1" x14ac:dyDescent="0.25">
      <c r="C54" s="21">
        <v>2277</v>
      </c>
      <c r="D54" s="16">
        <v>2270</v>
      </c>
    </row>
    <row r="55" spans="3:12" ht="20.100000000000001" customHeight="1" x14ac:dyDescent="0.25">
      <c r="C55" s="21">
        <v>303</v>
      </c>
      <c r="D55" s="16">
        <v>4103</v>
      </c>
    </row>
    <row r="56" spans="3:12" ht="20.100000000000001" customHeight="1" x14ac:dyDescent="0.25">
      <c r="C56" s="20">
        <v>820</v>
      </c>
      <c r="D56" s="16">
        <v>435</v>
      </c>
    </row>
    <row r="57" spans="3:12" ht="20.100000000000001" customHeight="1" x14ac:dyDescent="0.25">
      <c r="C57" s="20">
        <v>749</v>
      </c>
      <c r="D57" s="16">
        <v>540</v>
      </c>
    </row>
    <row r="58" spans="3:12" ht="20.100000000000001" customHeight="1" x14ac:dyDescent="0.25">
      <c r="C58" s="20">
        <v>387</v>
      </c>
      <c r="D58" s="20">
        <v>1638</v>
      </c>
    </row>
    <row r="59" spans="3:12" ht="20.100000000000001" customHeight="1" x14ac:dyDescent="0.25">
      <c r="C59" s="21">
        <v>4334</v>
      </c>
      <c r="D59" s="20">
        <v>2277</v>
      </c>
    </row>
    <row r="60" spans="3:12" ht="20.100000000000001" customHeight="1" x14ac:dyDescent="0.25">
      <c r="C60" s="21">
        <v>2135</v>
      </c>
      <c r="D60" s="20">
        <v>303</v>
      </c>
    </row>
    <row r="61" spans="3:12" ht="20.100000000000001" customHeight="1" x14ac:dyDescent="0.25">
      <c r="C61" s="21">
        <v>382</v>
      </c>
      <c r="D61" s="21">
        <v>387</v>
      </c>
    </row>
    <row r="62" spans="3:12" ht="20.100000000000001" customHeight="1" x14ac:dyDescent="0.25">
      <c r="C62" s="21">
        <v>126</v>
      </c>
      <c r="D62" s="21">
        <v>4334</v>
      </c>
    </row>
    <row r="63" spans="3:12" ht="20.100000000000001" customHeight="1" x14ac:dyDescent="0.25">
      <c r="C63" s="21">
        <v>709</v>
      </c>
      <c r="D63" s="20">
        <v>2135</v>
      </c>
    </row>
    <row r="64" spans="3:12" ht="20.100000000000001" customHeight="1" x14ac:dyDescent="0.25">
      <c r="C64" s="21">
        <v>72</v>
      </c>
      <c r="D64" s="21">
        <v>966</v>
      </c>
    </row>
    <row r="65" spans="3:4" ht="20.100000000000001" customHeight="1" x14ac:dyDescent="0.25">
      <c r="C65" s="21">
        <v>1072</v>
      </c>
      <c r="D65" s="21">
        <v>709</v>
      </c>
    </row>
    <row r="66" spans="3:4" ht="20.100000000000001" customHeight="1" x14ac:dyDescent="0.25">
      <c r="C66" s="21">
        <v>1480</v>
      </c>
      <c r="D66" s="21">
        <v>72</v>
      </c>
    </row>
    <row r="67" spans="3:4" ht="20.100000000000001" customHeight="1" x14ac:dyDescent="0.25">
      <c r="C67" s="20">
        <v>635</v>
      </c>
      <c r="D67" s="21">
        <v>1072</v>
      </c>
    </row>
    <row r="68" spans="3:4" ht="20.100000000000001" customHeight="1" x14ac:dyDescent="0.25">
      <c r="C68" s="21">
        <v>3538</v>
      </c>
      <c r="D68" s="21">
        <v>635</v>
      </c>
    </row>
    <row r="69" spans="3:4" ht="20.100000000000001" customHeight="1" x14ac:dyDescent="0.25">
      <c r="C69" s="21">
        <v>170</v>
      </c>
      <c r="D69" s="21">
        <v>1590</v>
      </c>
    </row>
    <row r="70" spans="3:4" ht="20.100000000000001" customHeight="1" x14ac:dyDescent="0.25">
      <c r="C70" s="21">
        <v>3992</v>
      </c>
      <c r="D70" s="21">
        <v>3538</v>
      </c>
    </row>
    <row r="71" spans="3:4" ht="20.100000000000001" customHeight="1" x14ac:dyDescent="0.25">
      <c r="C71" s="21">
        <v>904</v>
      </c>
      <c r="D71" s="21">
        <v>170</v>
      </c>
    </row>
    <row r="72" spans="3:4" ht="20.100000000000001" customHeight="1" x14ac:dyDescent="0.25">
      <c r="C72" s="21">
        <v>5350</v>
      </c>
      <c r="D72" s="20">
        <v>3992</v>
      </c>
    </row>
    <row r="73" spans="3:4" ht="20.100000000000001" customHeight="1" x14ac:dyDescent="0.25">
      <c r="C73" s="21">
        <v>975</v>
      </c>
      <c r="D73" s="21">
        <v>716</v>
      </c>
    </row>
    <row r="74" spans="3:4" ht="20.100000000000001" customHeight="1" x14ac:dyDescent="0.25">
      <c r="C74" s="21">
        <v>596</v>
      </c>
      <c r="D74" s="21">
        <v>904</v>
      </c>
    </row>
    <row r="75" spans="3:4" ht="20.100000000000001" customHeight="1" x14ac:dyDescent="0.25">
      <c r="C75" s="21">
        <v>3933</v>
      </c>
      <c r="D75" s="21">
        <v>5350</v>
      </c>
    </row>
    <row r="76" spans="3:4" ht="20.100000000000001" customHeight="1" x14ac:dyDescent="0.25">
      <c r="C76" s="20">
        <v>131</v>
      </c>
      <c r="D76" s="21">
        <v>1465</v>
      </c>
    </row>
    <row r="77" spans="3:4" ht="20.100000000000001" customHeight="1" x14ac:dyDescent="0.25">
      <c r="C77" s="21">
        <v>464</v>
      </c>
      <c r="D77" s="20">
        <v>7956</v>
      </c>
    </row>
    <row r="78" spans="3:4" ht="20.100000000000001" customHeight="1" x14ac:dyDescent="0.25">
      <c r="C78" s="21">
        <v>1511</v>
      </c>
      <c r="D78" s="20">
        <v>1490</v>
      </c>
    </row>
    <row r="79" spans="3:4" ht="20.100000000000001" customHeight="1" x14ac:dyDescent="0.25">
      <c r="C79" s="21">
        <v>3200</v>
      </c>
      <c r="D79" s="21">
        <v>596</v>
      </c>
    </row>
    <row r="80" spans="3:4" ht="20.100000000000001" customHeight="1" x14ac:dyDescent="0.25">
      <c r="C80" s="21">
        <v>116</v>
      </c>
      <c r="D80" s="21">
        <v>3933</v>
      </c>
    </row>
    <row r="81" spans="3:4" ht="20.100000000000001" customHeight="1" x14ac:dyDescent="0.25">
      <c r="C81" s="20">
        <v>659</v>
      </c>
      <c r="D81" s="21">
        <v>1052</v>
      </c>
    </row>
    <row r="82" spans="3:4" ht="20.100000000000001" customHeight="1" x14ac:dyDescent="0.25">
      <c r="C82" s="20">
        <v>354</v>
      </c>
      <c r="D82" s="21">
        <v>131</v>
      </c>
    </row>
    <row r="83" spans="3:4" ht="20.100000000000001" customHeight="1" x14ac:dyDescent="0.25">
      <c r="C83" s="20">
        <v>111</v>
      </c>
      <c r="D83" s="21">
        <v>1322</v>
      </c>
    </row>
    <row r="84" spans="3:4" ht="20.100000000000001" customHeight="1" x14ac:dyDescent="0.25">
      <c r="C84" s="20">
        <v>435</v>
      </c>
      <c r="D84" s="21">
        <v>1511</v>
      </c>
    </row>
    <row r="85" spans="3:4" ht="20.100000000000001" customHeight="1" x14ac:dyDescent="0.25">
      <c r="C85" s="21">
        <v>767</v>
      </c>
      <c r="D85" s="21">
        <v>1365</v>
      </c>
    </row>
    <row r="86" spans="3:4" ht="20.100000000000001" customHeight="1" x14ac:dyDescent="0.25">
      <c r="C86" s="21">
        <v>1213</v>
      </c>
      <c r="D86" s="21">
        <v>3763</v>
      </c>
    </row>
    <row r="87" spans="3:4" ht="20.100000000000001" customHeight="1" x14ac:dyDescent="0.25">
      <c r="C87" s="21">
        <v>1885</v>
      </c>
      <c r="D87" s="21">
        <v>794</v>
      </c>
    </row>
    <row r="88" spans="3:4" ht="20.100000000000001" customHeight="1" x14ac:dyDescent="0.25">
      <c r="C88" s="21">
        <v>524</v>
      </c>
      <c r="D88" s="21">
        <v>3200</v>
      </c>
    </row>
    <row r="89" spans="3:4" ht="20.100000000000001" customHeight="1" x14ac:dyDescent="0.25">
      <c r="C89" s="21">
        <v>557</v>
      </c>
      <c r="D89" s="21">
        <v>3254</v>
      </c>
    </row>
    <row r="90" spans="3:4" ht="20.100000000000001" customHeight="1" x14ac:dyDescent="0.25">
      <c r="C90" s="21">
        <v>3377</v>
      </c>
      <c r="D90" s="21">
        <v>891</v>
      </c>
    </row>
    <row r="91" spans="3:4" ht="20.100000000000001" customHeight="1" x14ac:dyDescent="0.25">
      <c r="C91" s="21">
        <v>434</v>
      </c>
      <c r="D91" s="21">
        <v>1110</v>
      </c>
    </row>
    <row r="92" spans="3:4" ht="20.100000000000001" customHeight="1" x14ac:dyDescent="0.25">
      <c r="C92" s="21">
        <v>898</v>
      </c>
      <c r="D92" s="21">
        <v>435</v>
      </c>
    </row>
    <row r="93" spans="3:4" ht="20.100000000000001" customHeight="1" x14ac:dyDescent="0.25">
      <c r="C93" s="21">
        <v>530</v>
      </c>
      <c r="D93" s="21">
        <v>800</v>
      </c>
    </row>
    <row r="94" spans="3:4" ht="20.100000000000001" customHeight="1" x14ac:dyDescent="0.25">
      <c r="C94" s="21">
        <v>2365</v>
      </c>
      <c r="D94" s="21">
        <v>1213</v>
      </c>
    </row>
    <row r="95" spans="3:4" ht="20.100000000000001" customHeight="1" x14ac:dyDescent="0.25">
      <c r="C95" s="21">
        <v>975</v>
      </c>
      <c r="D95" s="21">
        <v>1885</v>
      </c>
    </row>
    <row r="96" spans="3:4" ht="20.100000000000001" customHeight="1" x14ac:dyDescent="0.25">
      <c r="C96" s="20">
        <v>494</v>
      </c>
      <c r="D96" s="21">
        <v>3388</v>
      </c>
    </row>
    <row r="97" spans="3:4" ht="20.100000000000001" customHeight="1" x14ac:dyDescent="0.25">
      <c r="C97" s="20">
        <v>93</v>
      </c>
      <c r="D97" s="21">
        <v>557</v>
      </c>
    </row>
    <row r="98" spans="3:4" ht="20.100000000000001" customHeight="1" x14ac:dyDescent="0.25">
      <c r="C98" s="21">
        <v>2700</v>
      </c>
      <c r="D98" s="20">
        <v>1687</v>
      </c>
    </row>
    <row r="99" spans="3:4" ht="20.100000000000001" customHeight="1" x14ac:dyDescent="0.25">
      <c r="C99" s="21">
        <v>470</v>
      </c>
      <c r="D99" s="21">
        <v>3377</v>
      </c>
    </row>
    <row r="100" spans="3:4" ht="20.100000000000001" customHeight="1" x14ac:dyDescent="0.25">
      <c r="C100" s="20">
        <v>1527</v>
      </c>
      <c r="D100" s="21">
        <v>434</v>
      </c>
    </row>
    <row r="101" spans="3:4" ht="20.100000000000001" customHeight="1" x14ac:dyDescent="0.25">
      <c r="C101" s="21">
        <v>875</v>
      </c>
      <c r="D101" s="20">
        <v>3276</v>
      </c>
    </row>
    <row r="102" spans="3:4" ht="20.100000000000001" customHeight="1" x14ac:dyDescent="0.25">
      <c r="C102" s="21">
        <v>147</v>
      </c>
      <c r="D102" s="20">
        <v>530</v>
      </c>
    </row>
    <row r="103" spans="3:4" ht="20.100000000000001" customHeight="1" x14ac:dyDescent="0.25">
      <c r="C103" s="21">
        <v>1369</v>
      </c>
      <c r="D103" s="21">
        <v>2365</v>
      </c>
    </row>
    <row r="104" spans="3:4" ht="20.100000000000001" customHeight="1" x14ac:dyDescent="0.25">
      <c r="C104" s="20">
        <v>550</v>
      </c>
      <c r="D104" s="21">
        <v>528</v>
      </c>
    </row>
    <row r="105" spans="3:4" ht="20.100000000000001" customHeight="1" x14ac:dyDescent="0.25">
      <c r="C105" s="21">
        <v>915</v>
      </c>
      <c r="D105" s="21">
        <v>925</v>
      </c>
    </row>
    <row r="106" spans="3:4" ht="20.100000000000001" customHeight="1" x14ac:dyDescent="0.25">
      <c r="C106" s="21">
        <v>197</v>
      </c>
      <c r="D106" s="21">
        <v>93</v>
      </c>
    </row>
    <row r="107" spans="3:4" ht="20.100000000000001" customHeight="1" x14ac:dyDescent="0.25">
      <c r="C107" s="21">
        <v>446</v>
      </c>
      <c r="D107" s="21">
        <v>2700</v>
      </c>
    </row>
    <row r="108" spans="3:4" ht="20.100000000000001" customHeight="1" x14ac:dyDescent="0.25">
      <c r="C108" s="20">
        <v>757</v>
      </c>
      <c r="D108" s="21">
        <v>6489</v>
      </c>
    </row>
    <row r="109" spans="3:4" ht="20.100000000000001" customHeight="1" x14ac:dyDescent="0.25">
      <c r="C109" s="21">
        <v>701</v>
      </c>
      <c r="D109" s="21">
        <v>1527</v>
      </c>
    </row>
    <row r="110" spans="3:4" ht="20.100000000000001" customHeight="1" x14ac:dyDescent="0.25">
      <c r="C110" s="21">
        <v>2362</v>
      </c>
      <c r="D110" s="21">
        <v>875</v>
      </c>
    </row>
    <row r="111" spans="3:4" ht="20.100000000000001" customHeight="1" x14ac:dyDescent="0.25">
      <c r="C111" s="20">
        <v>379</v>
      </c>
      <c r="D111" s="21">
        <v>891</v>
      </c>
    </row>
    <row r="112" spans="3:4" ht="20.100000000000001" customHeight="1" x14ac:dyDescent="0.25">
      <c r="C112" s="21">
        <v>863</v>
      </c>
      <c r="D112" s="20">
        <v>15500</v>
      </c>
    </row>
    <row r="113" spans="3:4" ht="20.100000000000001" customHeight="1" x14ac:dyDescent="0.25">
      <c r="C113" s="21">
        <v>1318</v>
      </c>
      <c r="D113" s="21">
        <v>1549</v>
      </c>
    </row>
    <row r="114" spans="3:4" ht="20.100000000000001" customHeight="1" x14ac:dyDescent="0.25">
      <c r="C114" s="21">
        <v>1109</v>
      </c>
      <c r="D114" s="21">
        <v>7293</v>
      </c>
    </row>
    <row r="115" spans="3:4" ht="20.100000000000001" customHeight="1" x14ac:dyDescent="0.25">
      <c r="C115" s="21">
        <v>213</v>
      </c>
      <c r="D115" s="21">
        <v>4858</v>
      </c>
    </row>
    <row r="116" spans="3:4" ht="20.100000000000001" customHeight="1" x14ac:dyDescent="0.25">
      <c r="C116" s="21">
        <v>2561</v>
      </c>
      <c r="D116" s="20">
        <v>5224</v>
      </c>
    </row>
    <row r="117" spans="3:4" ht="20.100000000000001" customHeight="1" x14ac:dyDescent="0.25">
      <c r="C117" s="21">
        <v>519</v>
      </c>
      <c r="D117" s="21">
        <v>4306</v>
      </c>
    </row>
    <row r="118" spans="3:4" ht="20.100000000000001" customHeight="1" x14ac:dyDescent="0.25">
      <c r="C118" s="21">
        <v>72</v>
      </c>
      <c r="D118" s="21">
        <v>1369</v>
      </c>
    </row>
    <row r="119" spans="3:4" ht="20.100000000000001" customHeight="1" x14ac:dyDescent="0.25">
      <c r="C119" s="21">
        <v>713</v>
      </c>
      <c r="D119" s="21">
        <v>757</v>
      </c>
    </row>
    <row r="120" spans="3:4" ht="20.100000000000001" customHeight="1" x14ac:dyDescent="0.25">
      <c r="C120" s="21">
        <v>1552</v>
      </c>
      <c r="D120" s="21">
        <v>4325</v>
      </c>
    </row>
    <row r="121" spans="3:4" ht="20.100000000000001" customHeight="1" x14ac:dyDescent="0.25">
      <c r="C121" s="21">
        <v>583</v>
      </c>
      <c r="D121" s="21">
        <v>2362</v>
      </c>
    </row>
    <row r="122" spans="3:4" ht="20.100000000000001" customHeight="1" x14ac:dyDescent="0.25">
      <c r="C122" s="21">
        <v>998</v>
      </c>
      <c r="D122" s="21">
        <v>379</v>
      </c>
    </row>
    <row r="123" spans="3:4" ht="20.100000000000001" customHeight="1" x14ac:dyDescent="0.25">
      <c r="C123" s="21">
        <v>603</v>
      </c>
      <c r="D123" s="21">
        <v>890</v>
      </c>
    </row>
    <row r="124" spans="3:4" ht="20.100000000000001" customHeight="1" x14ac:dyDescent="0.25">
      <c r="C124" s="21">
        <v>541</v>
      </c>
      <c r="D124" s="21">
        <v>199</v>
      </c>
    </row>
    <row r="125" spans="3:4" ht="20.100000000000001" customHeight="1" x14ac:dyDescent="0.25">
      <c r="C125" s="21">
        <v>935</v>
      </c>
      <c r="D125" s="21">
        <v>1318</v>
      </c>
    </row>
    <row r="126" spans="3:4" ht="20.100000000000001" customHeight="1" x14ac:dyDescent="0.25">
      <c r="C126" s="21">
        <v>1707</v>
      </c>
      <c r="D126" s="21">
        <v>2976</v>
      </c>
    </row>
    <row r="127" spans="3:4" ht="20.100000000000001" customHeight="1" x14ac:dyDescent="0.25">
      <c r="C127" s="21">
        <v>2540</v>
      </c>
      <c r="D127" s="21">
        <v>4500</v>
      </c>
    </row>
    <row r="128" spans="3:4" ht="20.100000000000001" customHeight="1" x14ac:dyDescent="0.25">
      <c r="C128" s="21">
        <v>1620</v>
      </c>
      <c r="D128" s="21">
        <v>2014</v>
      </c>
    </row>
    <row r="129" spans="3:4" ht="20.100000000000001" customHeight="1" x14ac:dyDescent="0.25">
      <c r="C129" s="21">
        <v>329</v>
      </c>
      <c r="D129" s="20">
        <v>1823</v>
      </c>
    </row>
    <row r="130" spans="3:4" ht="20.100000000000001" customHeight="1" x14ac:dyDescent="0.25">
      <c r="C130" s="21">
        <v>752</v>
      </c>
      <c r="D130" s="21">
        <v>519</v>
      </c>
    </row>
    <row r="131" spans="3:4" ht="20.100000000000001" customHeight="1" x14ac:dyDescent="0.25">
      <c r="C131" s="21">
        <v>1132</v>
      </c>
      <c r="D131" s="21">
        <v>72</v>
      </c>
    </row>
    <row r="132" spans="3:4" ht="20.100000000000001" customHeight="1" x14ac:dyDescent="0.25">
      <c r="C132" s="21">
        <v>262</v>
      </c>
      <c r="D132" s="21">
        <v>713</v>
      </c>
    </row>
    <row r="133" spans="3:4" ht="20.100000000000001" customHeight="1" x14ac:dyDescent="0.25">
      <c r="C133" s="21"/>
      <c r="D133" s="21">
        <v>1552</v>
      </c>
    </row>
    <row r="134" spans="3:4" ht="20.100000000000001" customHeight="1" x14ac:dyDescent="0.25">
      <c r="C134" s="21"/>
      <c r="D134" s="21">
        <v>998</v>
      </c>
    </row>
    <row r="135" spans="3:4" ht="20.100000000000001" customHeight="1" x14ac:dyDescent="0.25">
      <c r="C135" s="21"/>
      <c r="D135" s="21">
        <v>943</v>
      </c>
    </row>
    <row r="136" spans="3:4" ht="20.100000000000001" customHeight="1" x14ac:dyDescent="0.25">
      <c r="C136" s="21"/>
      <c r="D136" s="21">
        <v>541</v>
      </c>
    </row>
    <row r="137" spans="3:4" ht="20.100000000000001" customHeight="1" x14ac:dyDescent="0.25">
      <c r="C137" s="21"/>
      <c r="D137" s="21">
        <v>1534</v>
      </c>
    </row>
    <row r="138" spans="3:4" ht="20.100000000000001" customHeight="1" x14ac:dyDescent="0.25">
      <c r="C138" s="21"/>
      <c r="D138" s="21">
        <v>1707</v>
      </c>
    </row>
    <row r="139" spans="3:4" ht="20.100000000000001" customHeight="1" x14ac:dyDescent="0.25">
      <c r="C139" s="20"/>
      <c r="D139" s="21">
        <v>2540</v>
      </c>
    </row>
    <row r="140" spans="3:4" ht="20.100000000000001" customHeight="1" x14ac:dyDescent="0.25">
      <c r="C140" s="21"/>
      <c r="D140" s="21">
        <v>7900</v>
      </c>
    </row>
    <row r="141" spans="3:4" ht="20.100000000000001" customHeight="1" x14ac:dyDescent="0.25">
      <c r="C141" s="21"/>
      <c r="D141" s="20">
        <v>1620</v>
      </c>
    </row>
    <row r="142" spans="3:4" ht="20.100000000000001" customHeight="1" x14ac:dyDescent="0.25">
      <c r="C142" s="21"/>
      <c r="D142" s="20">
        <v>3163</v>
      </c>
    </row>
    <row r="143" spans="3:4" ht="20.100000000000001" customHeight="1" x14ac:dyDescent="0.25">
      <c r="C143" s="21"/>
      <c r="D143" s="20">
        <v>752</v>
      </c>
    </row>
    <row r="144" spans="3:4" ht="20.100000000000001" customHeight="1" x14ac:dyDescent="0.25">
      <c r="C144" s="21"/>
      <c r="D144" s="20">
        <v>1132</v>
      </c>
    </row>
    <row r="145" spans="3:4" ht="20.100000000000001" customHeight="1" x14ac:dyDescent="0.25">
      <c r="C145" s="21"/>
      <c r="D145" s="21">
        <v>262</v>
      </c>
    </row>
    <row r="146" spans="3:4" ht="20.100000000000001" customHeight="1" x14ac:dyDescent="0.25">
      <c r="C146" s="21"/>
      <c r="D146" s="21">
        <v>2900</v>
      </c>
    </row>
    <row r="147" spans="3:4" ht="20.100000000000001" customHeight="1" x14ac:dyDescent="0.25">
      <c r="C147" s="14"/>
      <c r="D147" s="21"/>
    </row>
    <row r="148" spans="3:4" ht="20.100000000000001" customHeight="1" x14ac:dyDescent="0.25">
      <c r="C148" s="14"/>
      <c r="D148" s="20"/>
    </row>
    <row r="149" spans="3:4" ht="20.100000000000001" customHeight="1" x14ac:dyDescent="0.25">
      <c r="C149" s="15">
        <f>SUM(C2:C148)</f>
        <v>169544</v>
      </c>
      <c r="D149" s="15">
        <f>SUM(D2:D148)</f>
        <v>361388</v>
      </c>
    </row>
    <row r="150" spans="3:4" ht="20.100000000000001" customHeight="1" x14ac:dyDescent="0.25">
      <c r="C150" s="13"/>
    </row>
    <row r="151" spans="3:4" ht="20.100000000000001" customHeight="1" x14ac:dyDescent="0.25">
      <c r="C151" s="13"/>
    </row>
    <row r="152" spans="3:4" ht="20.100000000000001" customHeight="1" x14ac:dyDescent="0.25">
      <c r="C152" s="13"/>
    </row>
    <row r="153" spans="3:4" ht="20.100000000000001" customHeight="1" x14ac:dyDescent="0.25">
      <c r="C153" s="13"/>
    </row>
    <row r="154" spans="3:4" ht="20.100000000000001" customHeight="1" x14ac:dyDescent="0.25">
      <c r="C154" s="13"/>
    </row>
    <row r="155" spans="3:4" ht="20.100000000000001" customHeight="1" x14ac:dyDescent="0.25">
      <c r="C155" s="13"/>
    </row>
    <row r="156" spans="3:4" ht="20.100000000000001" customHeight="1" x14ac:dyDescent="0.25">
      <c r="C156" s="13"/>
    </row>
    <row r="157" spans="3:4" ht="20.100000000000001" customHeight="1" x14ac:dyDescent="0.25">
      <c r="C157" s="13"/>
    </row>
    <row r="158" spans="3:4" ht="20.100000000000001" customHeight="1" x14ac:dyDescent="0.25"/>
    <row r="159" spans="3:4" ht="20.100000000000001" customHeight="1" x14ac:dyDescent="0.25"/>
    <row r="160" spans="3:4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DE6UZ2SY5E43-1273115200-268</_dlc_DocId>
    <_dlc_DocIdUrl xmlns="3b005fd8-62d5-4927-a0f9-fdac9185221f">
      <Url>https://outside.vermont.gov/dept/sos/_layouts/15/DocIdRedir.aspx?ID=DE6UZ2SY5E43-1273115200-268</Url>
      <Description>DE6UZ2SY5E43-1273115200-268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890E40C-538A-4792-A46C-9C1D8868BA72}"/>
</file>

<file path=customXml/itemProps2.xml><?xml version="1.0" encoding="utf-8"?>
<ds:datastoreItem xmlns:ds="http://schemas.openxmlformats.org/officeDocument/2006/customXml" ds:itemID="{A465EB4A-9FEE-4B85-A034-0218C75A670C}"/>
</file>

<file path=customXml/itemProps3.xml><?xml version="1.0" encoding="utf-8"?>
<ds:datastoreItem xmlns:ds="http://schemas.openxmlformats.org/officeDocument/2006/customXml" ds:itemID="{678545ED-A073-4B32-B27A-F10B2B39F747}"/>
</file>

<file path=customXml/itemProps4.xml><?xml version="1.0" encoding="utf-8"?>
<ds:datastoreItem xmlns:ds="http://schemas.openxmlformats.org/officeDocument/2006/customXml" ds:itemID="{F5F81698-F237-4382-9357-7808F46773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Vermont Secretary of State's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VT_SOS</cp:lastModifiedBy>
  <dcterms:created xsi:type="dcterms:W3CDTF">2018-05-11T14:56:29Z</dcterms:created>
  <dcterms:modified xsi:type="dcterms:W3CDTF">2020-05-08T19:26:19Z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56776ab9-490c-4e70-a5ba-3ae5a32e7055</vt:lpwstr>
  </property>
</Properties>
</file>