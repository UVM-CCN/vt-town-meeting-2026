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ttps://alfresco.sec.state.vt.us:8443/alfresco/webdav/Sites/business-division-elections/documentLibrary/Town Meeting Information &amp; Survey/2014 Town meeting Survey/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E210" i="1" l="1"/>
  <c r="G210" i="1" l="1"/>
  <c r="H210" i="1" l="1"/>
  <c r="F210" i="1"/>
  <c r="C209" i="1"/>
  <c r="D209" i="1" s="1"/>
  <c r="F4" i="1"/>
  <c r="F6" i="1"/>
  <c r="F8" i="1"/>
  <c r="F10" i="1"/>
  <c r="F11" i="1"/>
  <c r="F12" i="1"/>
  <c r="F14" i="1"/>
  <c r="F15" i="1"/>
  <c r="F16" i="1"/>
  <c r="F19" i="1"/>
  <c r="F22" i="1"/>
  <c r="F23" i="1"/>
  <c r="F25" i="1"/>
  <c r="F26" i="1"/>
  <c r="F27" i="1"/>
  <c r="F30" i="1"/>
  <c r="F31" i="1"/>
  <c r="F32" i="1"/>
  <c r="F33" i="1"/>
  <c r="F34" i="1"/>
  <c r="F36" i="1"/>
  <c r="F38" i="1"/>
  <c r="F40" i="1"/>
  <c r="F41" i="1"/>
  <c r="F42" i="1"/>
  <c r="F43" i="1"/>
  <c r="F45" i="1"/>
  <c r="F46" i="1"/>
  <c r="F47" i="1"/>
  <c r="F48" i="1"/>
  <c r="F49" i="1"/>
  <c r="F50" i="1"/>
  <c r="F51" i="1"/>
  <c r="F52" i="1"/>
  <c r="F53" i="1"/>
  <c r="F54" i="1"/>
  <c r="F55" i="1"/>
  <c r="F56" i="1"/>
  <c r="F60" i="1"/>
  <c r="F61" i="1"/>
  <c r="F63" i="1"/>
  <c r="F64" i="1"/>
  <c r="F65" i="1"/>
  <c r="F66" i="1"/>
  <c r="F68" i="1"/>
  <c r="F70" i="1"/>
  <c r="F71" i="1"/>
  <c r="F72" i="1"/>
  <c r="F73" i="1"/>
  <c r="F74" i="1"/>
  <c r="F75" i="1"/>
  <c r="F76" i="1"/>
  <c r="F77" i="1"/>
  <c r="F78" i="1"/>
  <c r="F79" i="1"/>
  <c r="F80" i="1"/>
  <c r="F81" i="1"/>
  <c r="F83" i="1"/>
  <c r="F85" i="1"/>
  <c r="F86" i="1"/>
  <c r="F87" i="1"/>
  <c r="F88" i="1"/>
  <c r="F91" i="1"/>
  <c r="F93" i="1"/>
  <c r="F95" i="1"/>
  <c r="F96" i="1"/>
  <c r="F97" i="1"/>
  <c r="F99" i="1"/>
  <c r="F100" i="1"/>
  <c r="F101" i="1"/>
  <c r="F102" i="1"/>
  <c r="F103" i="1"/>
  <c r="F104" i="1"/>
  <c r="F105" i="1"/>
  <c r="F106" i="1"/>
  <c r="F107" i="1"/>
  <c r="F109" i="1"/>
  <c r="F110" i="1"/>
  <c r="F111" i="1"/>
  <c r="F112" i="1"/>
  <c r="F113" i="1"/>
  <c r="F114" i="1"/>
  <c r="F116" i="1"/>
  <c r="F117" i="1"/>
  <c r="F118" i="1"/>
  <c r="F120" i="1"/>
  <c r="F121" i="1"/>
  <c r="F122" i="1"/>
  <c r="F123" i="1"/>
  <c r="F125" i="1"/>
  <c r="F126" i="1"/>
  <c r="F127" i="1"/>
  <c r="F131" i="1"/>
  <c r="F132" i="1"/>
  <c r="F133" i="1"/>
  <c r="F135" i="1"/>
  <c r="F136" i="1"/>
  <c r="F137" i="1"/>
  <c r="F138" i="1"/>
  <c r="F140" i="1"/>
  <c r="F141" i="1"/>
  <c r="F142" i="1"/>
  <c r="F143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4" i="1"/>
  <c r="F166" i="1"/>
  <c r="F170" i="1"/>
  <c r="F171" i="1"/>
  <c r="F172" i="1"/>
  <c r="F173" i="1"/>
  <c r="F176" i="1"/>
  <c r="F178" i="1"/>
  <c r="F180" i="1"/>
  <c r="F181" i="1"/>
  <c r="F182" i="1"/>
  <c r="F183" i="1"/>
  <c r="F185" i="1"/>
  <c r="F186" i="1"/>
  <c r="F187" i="1"/>
  <c r="F188" i="1"/>
  <c r="F190" i="1"/>
  <c r="F191" i="1"/>
  <c r="F192" i="1"/>
  <c r="F194" i="1"/>
  <c r="F195" i="1"/>
  <c r="F196" i="1"/>
  <c r="F198" i="1"/>
  <c r="F199" i="1"/>
  <c r="F200" i="1"/>
  <c r="F201" i="1"/>
  <c r="F202" i="1"/>
  <c r="F204" i="1"/>
  <c r="F205" i="1"/>
  <c r="F206" i="1"/>
  <c r="F208" i="1"/>
  <c r="F3" i="1"/>
  <c r="D3" i="1"/>
  <c r="D5" i="1"/>
  <c r="D7" i="1"/>
  <c r="D8" i="1"/>
  <c r="D9" i="1"/>
  <c r="D10" i="1"/>
  <c r="D13" i="1"/>
  <c r="D17" i="1"/>
  <c r="D19" i="1"/>
  <c r="D20" i="1"/>
  <c r="D21" i="1"/>
  <c r="D23" i="1"/>
  <c r="D24" i="1"/>
  <c r="D27" i="1"/>
  <c r="D29" i="1"/>
  <c r="D31" i="1"/>
  <c r="D32" i="1"/>
  <c r="D36" i="1"/>
  <c r="D37" i="1"/>
  <c r="D38" i="1"/>
  <c r="D43" i="1"/>
  <c r="D44" i="1"/>
  <c r="D45" i="1"/>
  <c r="D46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4" i="1"/>
  <c r="D65" i="1"/>
  <c r="D67" i="1"/>
  <c r="D68" i="1"/>
  <c r="D69" i="1"/>
  <c r="D72" i="1"/>
  <c r="D74" i="1"/>
  <c r="D75" i="1"/>
  <c r="D77" i="1"/>
  <c r="D78" i="1"/>
  <c r="D79" i="1"/>
  <c r="D80" i="1"/>
  <c r="D81" i="1"/>
  <c r="D82" i="1"/>
  <c r="D84" i="1"/>
  <c r="D85" i="1"/>
  <c r="D86" i="1"/>
  <c r="D87" i="1"/>
  <c r="D89" i="1"/>
  <c r="D90" i="1"/>
  <c r="D92" i="1"/>
  <c r="D93" i="1"/>
  <c r="D94" i="1"/>
  <c r="D95" i="1"/>
  <c r="D96" i="1"/>
  <c r="D97" i="1"/>
  <c r="D98" i="1"/>
  <c r="D101" i="1"/>
  <c r="D103" i="1"/>
  <c r="D104" i="1"/>
  <c r="D108" i="1"/>
  <c r="D110" i="1"/>
  <c r="D111" i="1"/>
  <c r="D113" i="1"/>
  <c r="D115" i="1"/>
  <c r="D119" i="1"/>
  <c r="D121" i="1"/>
  <c r="D124" i="1"/>
  <c r="D125" i="1"/>
  <c r="D128" i="1"/>
  <c r="D129" i="1"/>
  <c r="D130" i="1"/>
  <c r="D131" i="1"/>
  <c r="D133" i="1"/>
  <c r="D134" i="1"/>
  <c r="D136" i="1"/>
  <c r="D137" i="1"/>
  <c r="D139" i="1"/>
  <c r="D142" i="1"/>
  <c r="D144" i="1"/>
  <c r="D145" i="1"/>
  <c r="D146" i="1"/>
  <c r="D149" i="1"/>
  <c r="D154" i="1"/>
  <c r="D155" i="1"/>
  <c r="D159" i="1"/>
  <c r="D163" i="1"/>
  <c r="D164" i="1"/>
  <c r="D165" i="1"/>
  <c r="D166" i="1"/>
  <c r="D167" i="1"/>
  <c r="D168" i="1"/>
  <c r="D169" i="1"/>
  <c r="D170" i="1"/>
  <c r="D172" i="1"/>
  <c r="D173" i="1"/>
  <c r="D174" i="1"/>
  <c r="D175" i="1"/>
  <c r="D176" i="1"/>
  <c r="D177" i="1"/>
  <c r="D179" i="1"/>
  <c r="D180" i="1"/>
  <c r="D181" i="1"/>
  <c r="D183" i="1"/>
  <c r="D184" i="1"/>
  <c r="D185" i="1"/>
  <c r="D186" i="1"/>
  <c r="D188" i="1"/>
  <c r="D189" i="1"/>
  <c r="D193" i="1"/>
  <c r="D194" i="1"/>
  <c r="D195" i="1"/>
  <c r="D196" i="1"/>
  <c r="D197" i="1"/>
  <c r="D198" i="1"/>
  <c r="D199" i="1"/>
  <c r="D200" i="1"/>
  <c r="D202" i="1"/>
  <c r="D203" i="1"/>
  <c r="D205" i="1"/>
  <c r="D207" i="1"/>
  <c r="D208" i="1"/>
  <c r="D2" i="1"/>
  <c r="H4" i="1"/>
  <c r="H6" i="1"/>
  <c r="H8" i="1"/>
  <c r="H11" i="1"/>
  <c r="H12" i="1"/>
  <c r="H14" i="1"/>
  <c r="H15" i="1"/>
  <c r="H16" i="1"/>
  <c r="H19" i="1"/>
  <c r="H22" i="1"/>
  <c r="H23" i="1"/>
  <c r="H25" i="1"/>
  <c r="H26" i="1"/>
  <c r="H27" i="1"/>
  <c r="H30" i="1"/>
  <c r="H31" i="1"/>
  <c r="H32" i="1"/>
  <c r="H33" i="1"/>
  <c r="H34" i="1"/>
  <c r="H38" i="1"/>
  <c r="H39" i="1"/>
  <c r="H40" i="1"/>
  <c r="H41" i="1"/>
  <c r="H42" i="1"/>
  <c r="H43" i="1"/>
  <c r="H45" i="1"/>
  <c r="H46" i="1"/>
  <c r="H47" i="1"/>
  <c r="H48" i="1"/>
  <c r="H49" i="1"/>
  <c r="H50" i="1"/>
  <c r="H51" i="1"/>
  <c r="H52" i="1"/>
  <c r="H53" i="1"/>
  <c r="H54" i="1"/>
  <c r="H55" i="1"/>
  <c r="H56" i="1"/>
  <c r="H60" i="1"/>
  <c r="H61" i="1"/>
  <c r="H63" i="1"/>
  <c r="H64" i="1"/>
  <c r="H65" i="1"/>
  <c r="H68" i="1"/>
  <c r="H70" i="1"/>
  <c r="H71" i="1"/>
  <c r="H72" i="1"/>
  <c r="H73" i="1"/>
  <c r="H74" i="1"/>
  <c r="H75" i="1"/>
  <c r="H76" i="1"/>
  <c r="H77" i="1"/>
  <c r="H78" i="1"/>
  <c r="H80" i="1"/>
  <c r="H81" i="1"/>
  <c r="H83" i="1"/>
  <c r="H85" i="1"/>
  <c r="H86" i="1"/>
  <c r="H87" i="1"/>
  <c r="H88" i="1"/>
  <c r="H91" i="1"/>
  <c r="H93" i="1"/>
  <c r="H95" i="1"/>
  <c r="H96" i="1"/>
  <c r="H97" i="1"/>
  <c r="H99" i="1"/>
  <c r="H100" i="1"/>
  <c r="H101" i="1"/>
  <c r="H102" i="1"/>
  <c r="H103" i="1"/>
  <c r="H104" i="1"/>
  <c r="H105" i="1"/>
  <c r="H106" i="1"/>
  <c r="H107" i="1"/>
  <c r="H109" i="1"/>
  <c r="H110" i="1"/>
  <c r="H111" i="1"/>
  <c r="H112" i="1"/>
  <c r="H113" i="1"/>
  <c r="H114" i="1"/>
  <c r="H116" i="1"/>
  <c r="H117" i="1"/>
  <c r="H118" i="1"/>
  <c r="H120" i="1"/>
  <c r="H121" i="1"/>
  <c r="H122" i="1"/>
  <c r="H125" i="1"/>
  <c r="H126" i="1"/>
  <c r="H127" i="1"/>
  <c r="H131" i="1"/>
  <c r="H132" i="1"/>
  <c r="H133" i="1"/>
  <c r="H135" i="1"/>
  <c r="H136" i="1"/>
  <c r="H137" i="1"/>
  <c r="H138" i="1"/>
  <c r="H140" i="1"/>
  <c r="H141" i="1"/>
  <c r="H142" i="1"/>
  <c r="H143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4" i="1"/>
  <c r="H166" i="1"/>
  <c r="H170" i="1"/>
  <c r="H171" i="1"/>
  <c r="H172" i="1"/>
  <c r="H173" i="1"/>
  <c r="H178" i="1"/>
  <c r="H180" i="1"/>
  <c r="H181" i="1"/>
  <c r="H182" i="1"/>
  <c r="H185" i="1"/>
  <c r="H186" i="1"/>
  <c r="H187" i="1"/>
  <c r="H188" i="1"/>
  <c r="H190" i="1"/>
  <c r="H191" i="1"/>
  <c r="H192" i="1"/>
  <c r="H194" i="1"/>
  <c r="H195" i="1"/>
  <c r="H196" i="1"/>
  <c r="H198" i="1"/>
  <c r="H199" i="1"/>
  <c r="H200" i="1"/>
  <c r="H201" i="1"/>
  <c r="H202" i="1"/>
  <c r="H204" i="1"/>
  <c r="H205" i="1"/>
  <c r="H206" i="1"/>
  <c r="H208" i="1"/>
  <c r="H3" i="1"/>
</calcChain>
</file>

<file path=xl/sharedStrings.xml><?xml version="1.0" encoding="utf-8"?>
<sst xmlns="http://schemas.openxmlformats.org/spreadsheetml/2006/main" count="218" uniqueCount="218">
  <si>
    <t>Town or City</t>
  </si>
  <si>
    <t>Weston</t>
  </si>
  <si>
    <t>Montpelier</t>
  </si>
  <si>
    <t>Washington</t>
  </si>
  <si>
    <t>Goshen</t>
  </si>
  <si>
    <t>Salisbury</t>
  </si>
  <si>
    <t>Westminster</t>
  </si>
  <si>
    <t>West Windsor</t>
  </si>
  <si>
    <t>Landgrove</t>
  </si>
  <si>
    <t>Leicester</t>
  </si>
  <si>
    <t>Belvidere</t>
  </si>
  <si>
    <t>Victory</t>
  </si>
  <si>
    <t>Guildhall</t>
  </si>
  <si>
    <t>Peru</t>
  </si>
  <si>
    <t>Stockbridge</t>
  </si>
  <si>
    <t>Marshfield</t>
  </si>
  <si>
    <t>Weybridge</t>
  </si>
  <si>
    <t>Huntington</t>
  </si>
  <si>
    <t>Royalton</t>
  </si>
  <si>
    <t>Halifax</t>
  </si>
  <si>
    <t>Wardsboro</t>
  </si>
  <si>
    <t>Mendon</t>
  </si>
  <si>
    <t>Hubbardton</t>
  </si>
  <si>
    <t>Shelburne</t>
  </si>
  <si>
    <t>Brattleboro</t>
  </si>
  <si>
    <t>Middletown Springs</t>
  </si>
  <si>
    <t>Alburgh</t>
  </si>
  <si>
    <t>Bridport</t>
  </si>
  <si>
    <t>Pomfret</t>
  </si>
  <si>
    <t>Williston</t>
  </si>
  <si>
    <t>Grafton</t>
  </si>
  <si>
    <t>Athens</t>
  </si>
  <si>
    <t>Burlington</t>
  </si>
  <si>
    <t>Stowe</t>
  </si>
  <si>
    <t>Johnson</t>
  </si>
  <si>
    <t>Groton</t>
  </si>
  <si>
    <t>Barnet</t>
  </si>
  <si>
    <t>Corinth</t>
  </si>
  <si>
    <t>Tinmouth</t>
  </si>
  <si>
    <t>Ripton</t>
  </si>
  <si>
    <t>Bolton</t>
  </si>
  <si>
    <t>Londonderry</t>
  </si>
  <si>
    <t>Walden</t>
  </si>
  <si>
    <t>Baltimore</t>
  </si>
  <si>
    <t>Wells</t>
  </si>
  <si>
    <t>Fairlee</t>
  </si>
  <si>
    <t>Bloomfield</t>
  </si>
  <si>
    <t>Waterford</t>
  </si>
  <si>
    <t>Derby</t>
  </si>
  <si>
    <t>Jamaica</t>
  </si>
  <si>
    <t>Fairfield</t>
  </si>
  <si>
    <t>Newfane</t>
  </si>
  <si>
    <t>Brunswick</t>
  </si>
  <si>
    <t>South Hero</t>
  </si>
  <si>
    <t>New Haven</t>
  </si>
  <si>
    <t>Fair Haven</t>
  </si>
  <si>
    <t>East Montpelier</t>
  </si>
  <si>
    <t>Middlesex</t>
  </si>
  <si>
    <t>Randolph</t>
  </si>
  <si>
    <t>Newport City</t>
  </si>
  <si>
    <t>Danville</t>
  </si>
  <si>
    <t>Waltham</t>
  </si>
  <si>
    <t>Brownington</t>
  </si>
  <si>
    <t>Danby</t>
  </si>
  <si>
    <t>Bradford</t>
  </si>
  <si>
    <t>Georgia</t>
  </si>
  <si>
    <t>Waitsfield</t>
  </si>
  <si>
    <t>Granville</t>
  </si>
  <si>
    <t>Orwell</t>
  </si>
  <si>
    <t>Windham</t>
  </si>
  <si>
    <t>Braintree</t>
  </si>
  <si>
    <t>Thetford</t>
  </si>
  <si>
    <t>Concord</t>
  </si>
  <si>
    <t>Cambridge</t>
  </si>
  <si>
    <t>Holland</t>
  </si>
  <si>
    <t>Norton</t>
  </si>
  <si>
    <t>Lowell</t>
  </si>
  <si>
    <t>Granby</t>
  </si>
  <si>
    <t>Waterville</t>
  </si>
  <si>
    <t>Bakersfield</t>
  </si>
  <si>
    <t>Charleston</t>
  </si>
  <si>
    <t>Mount Holly</t>
  </si>
  <si>
    <t>Chester</t>
  </si>
  <si>
    <t>Monkton</t>
  </si>
  <si>
    <t>North Hero</t>
  </si>
  <si>
    <t>Bristol</t>
  </si>
  <si>
    <t>Fletcher</t>
  </si>
  <si>
    <t>Montgomery</t>
  </si>
  <si>
    <t>Readsboro</t>
  </si>
  <si>
    <t>Lunenburg</t>
  </si>
  <si>
    <t>Winhall</t>
  </si>
  <si>
    <t>Coventry</t>
  </si>
  <si>
    <t>Lemington</t>
  </si>
  <si>
    <t>Wallingford</t>
  </si>
  <si>
    <t>Peacham</t>
  </si>
  <si>
    <t>Ryegate</t>
  </si>
  <si>
    <t>Jay</t>
  </si>
  <si>
    <t>Rochester</t>
  </si>
  <si>
    <t>Ira</t>
  </si>
  <si>
    <t>Jericho</t>
  </si>
  <si>
    <t>Marlboro</t>
  </si>
  <si>
    <t>Glover</t>
  </si>
  <si>
    <t>Andover</t>
  </si>
  <si>
    <t>St. Albans City</t>
  </si>
  <si>
    <t>Newport Town</t>
  </si>
  <si>
    <t>Richford</t>
  </si>
  <si>
    <t>Panton</t>
  </si>
  <si>
    <t>Middlebury</t>
  </si>
  <si>
    <t>Calais</t>
  </si>
  <si>
    <t>Proctor</t>
  </si>
  <si>
    <t>Underhill</t>
  </si>
  <si>
    <t>Bennington</t>
  </si>
  <si>
    <t>Woodstock</t>
  </si>
  <si>
    <t>Weathersfield</t>
  </si>
  <si>
    <t>Highgate</t>
  </si>
  <si>
    <t>Isle La Motte</t>
  </si>
  <si>
    <t>Lyndon</t>
  </si>
  <si>
    <t>Strafford</t>
  </si>
  <si>
    <t>Pittsfield</t>
  </si>
  <si>
    <t>Woodbury</t>
  </si>
  <si>
    <t>Townshend</t>
  </si>
  <si>
    <t>Saint Albans Town</t>
  </si>
  <si>
    <t>Richmond</t>
  </si>
  <si>
    <t>Colchester</t>
  </si>
  <si>
    <t>Williamstown</t>
  </si>
  <si>
    <t>West Fairlee</t>
  </si>
  <si>
    <t>Milton</t>
  </si>
  <si>
    <t>Newark</t>
  </si>
  <si>
    <t>Rockingham</t>
  </si>
  <si>
    <t>Plymouth</t>
  </si>
  <si>
    <t>Springfield</t>
  </si>
  <si>
    <t>Tunbridge</t>
  </si>
  <si>
    <t>Warren</t>
  </si>
  <si>
    <t>Starksboro</t>
  </si>
  <si>
    <t>Manchester</t>
  </si>
  <si>
    <t>Norwich</t>
  </si>
  <si>
    <t>Clarendon</t>
  </si>
  <si>
    <t>Greensboro</t>
  </si>
  <si>
    <t>Stratton</t>
  </si>
  <si>
    <t>Chelsea</t>
  </si>
  <si>
    <t>Hartford</t>
  </si>
  <si>
    <t>Westfield</t>
  </si>
  <si>
    <t>Troy</t>
  </si>
  <si>
    <t>Berlin</t>
  </si>
  <si>
    <t>Irasburg</t>
  </si>
  <si>
    <t>Pawlet</t>
  </si>
  <si>
    <t>Bridgewater</t>
  </si>
  <si>
    <t>Hinesburg</t>
  </si>
  <si>
    <t>Chittenden</t>
  </si>
  <si>
    <t>Windsor</t>
  </si>
  <si>
    <t>Grand isle</t>
  </si>
  <si>
    <t>Fayston</t>
  </si>
  <si>
    <t>Northfield</t>
  </si>
  <si>
    <t>Cabot</t>
  </si>
  <si>
    <t>South Burlington</t>
  </si>
  <si>
    <t>Hartland</t>
  </si>
  <si>
    <t>Canaan</t>
  </si>
  <si>
    <t>Duxbury</t>
  </si>
  <si>
    <t>Westford</t>
  </si>
  <si>
    <t>Barton</t>
  </si>
  <si>
    <t>Barre City</t>
  </si>
  <si>
    <t>How many voters were on your TM checklist 3/4/14?</t>
  </si>
  <si>
    <t>For floor meeting towns: what was the highest vote count? (your best estimate)</t>
  </si>
  <si>
    <t>For Australian ballot towns: how many people voted (include absentee ballot)?</t>
  </si>
  <si>
    <t>For Australian ballot towns: how many voted by absentee ballot?</t>
  </si>
  <si>
    <t>30/17</t>
  </si>
  <si>
    <t>Kirby</t>
  </si>
  <si>
    <t>Essex</t>
  </si>
  <si>
    <t xml:space="preserve"> Albany</t>
  </si>
  <si>
    <t xml:space="preserve"> Brighton</t>
  </si>
  <si>
    <t>Swanton</t>
  </si>
  <si>
    <t>Franklin</t>
  </si>
  <si>
    <t>Orange</t>
  </si>
  <si>
    <t>Hyde Park</t>
  </si>
  <si>
    <t>Killington</t>
  </si>
  <si>
    <t>Mount Tabor</t>
  </si>
  <si>
    <t>Reading</t>
  </si>
  <si>
    <t>Waterbury</t>
  </si>
  <si>
    <t>Berkshire</t>
  </si>
  <si>
    <t>Arlington</t>
  </si>
  <si>
    <t>Brandon</t>
  </si>
  <si>
    <t>Cavendish</t>
  </si>
  <si>
    <t>Winooski</t>
  </si>
  <si>
    <t>Bethel</t>
  </si>
  <si>
    <t>Dorset</t>
  </si>
  <si>
    <t>Dummerston</t>
  </si>
  <si>
    <t>East Haven</t>
  </si>
  <si>
    <t>Fairfax</t>
  </si>
  <si>
    <t>Guildford</t>
  </si>
  <si>
    <t>Newbury</t>
  </si>
  <si>
    <t>Moretown</t>
  </si>
  <si>
    <t>Morriston</t>
  </si>
  <si>
    <t>Pittsford</t>
  </si>
  <si>
    <t>Plainfield</t>
  </si>
  <si>
    <t>Poultney</t>
  </si>
  <si>
    <t>Putney</t>
  </si>
  <si>
    <t>Sandgate</t>
  </si>
  <si>
    <t>Searsburg</t>
  </si>
  <si>
    <t>Shaftsbury</t>
  </si>
  <si>
    <t>Sharon</t>
  </si>
  <si>
    <t>Shrewsbury</t>
  </si>
  <si>
    <t>St. Johnsbury</t>
  </si>
  <si>
    <t>Stannard</t>
  </si>
  <si>
    <t>Sudbury</t>
  </si>
  <si>
    <t>Sunderland</t>
  </si>
  <si>
    <t>Topsham</t>
  </si>
  <si>
    <t>Wheelock</t>
  </si>
  <si>
    <t>Wilmington</t>
  </si>
  <si>
    <t>Roxbury</t>
  </si>
  <si>
    <t>Rupert</t>
  </si>
  <si>
    <t>Maidstone</t>
  </si>
  <si>
    <t>Lincoln</t>
  </si>
  <si>
    <t>Addison</t>
  </si>
  <si>
    <t>Floor Vote Turnout (%)</t>
  </si>
  <si>
    <t>Australian ballot Turnout (%)</t>
  </si>
  <si>
    <t>Absentee ballot Turnout (%)</t>
  </si>
  <si>
    <t>AUSTRALIAN BALLOT VOTE TOTAL</t>
  </si>
  <si>
    <t>FLOOR VOTE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</si>
</sst>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z val="14"/>
      <color indexed="8"/>
      <name val="Calibri"/>
      <family val="2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996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0" fontId="3" fillId="3" borderId="3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0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0" fontId="1" fillId="4" borderId="2" xfId="0" applyNumberFormat="1" applyFont="1" applyFill="1" applyBorder="1" applyAlignment="1">
      <alignment horizontal="center" vertical="center"/>
    </xf>
    <xf numFmtId="3" fontId="3" fillId="5" borderId="3" xfId="0" applyNumberFormat="1" applyFont="1" applyFill="1" applyBorder="1" applyAlignment="1">
      <alignment horizontal="center" vertical="center" wrapText="1"/>
    </xf>
    <xf numFmtId="10" fontId="3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1"/>
  <sheetViews>
    <sheetView tabSelected="1" zoomScaleNormal="100" workbookViewId="0">
      <pane xSplit="1" ySplit="1" topLeftCell="B184" activePane="bottomRight" state="frozen"/>
      <selection pane="topRight" activeCell="B1" sqref="B1"/>
      <selection pane="bottomLeft" activeCell="A2" sqref="A2"/>
      <selection pane="bottomRight" activeCell="K203" sqref="K203"/>
    </sheetView>
  </sheetViews>
  <sheetFormatPr defaultRowHeight="15.75" x14ac:dyDescent="0.25"/>
  <cols>
    <col min="1" max="1" width="21.85546875" style="1" customWidth="1"/>
    <col min="2" max="2" width="26.5703125" style="2" customWidth="1"/>
    <col min="3" max="4" width="24.28515625" style="2" customWidth="1"/>
    <col min="5" max="6" width="26.85546875" style="2" customWidth="1"/>
    <col min="7" max="7" width="26.42578125" style="2" customWidth="1"/>
    <col min="8" max="8" width="21.5703125" style="1" customWidth="1"/>
  </cols>
  <sheetData>
    <row r="1" spans="1:8" s="3" customFormat="1" ht="93.75" x14ac:dyDescent="0.3">
      <c r="A1" s="4" t="s">
        <v>0</v>
      </c>
      <c r="B1" s="4" t="s">
        <v>161</v>
      </c>
      <c r="C1" s="4" t="s">
        <v>162</v>
      </c>
      <c r="D1" s="4" t="s">
        <v>213</v>
      </c>
      <c r="E1" s="4" t="s">
        <v>163</v>
      </c>
      <c r="F1" s="4" t="s">
        <v>214</v>
      </c>
      <c r="G1" s="4" t="s">
        <v>164</v>
      </c>
      <c r="H1" s="4" t="s">
        <v>215</v>
      </c>
    </row>
    <row r="2" spans="1:8" x14ac:dyDescent="0.25">
      <c r="A2" s="8" t="s">
        <v>168</v>
      </c>
      <c r="B2" s="8">
        <v>616</v>
      </c>
      <c r="C2" s="8">
        <v>98</v>
      </c>
      <c r="D2" s="9">
        <f>SUM(C2/B2)</f>
        <v>0.15909090909090909</v>
      </c>
      <c r="E2" s="8"/>
      <c r="F2" s="8"/>
      <c r="G2" s="8"/>
      <c r="H2" s="9"/>
    </row>
    <row r="3" spans="1:8" x14ac:dyDescent="0.25">
      <c r="A3" s="8" t="s">
        <v>212</v>
      </c>
      <c r="B3" s="8">
        <v>999</v>
      </c>
      <c r="C3" s="8">
        <v>94</v>
      </c>
      <c r="D3" s="9">
        <f t="shared" ref="D3:D65" si="0">SUM(C3/B3)</f>
        <v>9.4094094094094097E-2</v>
      </c>
      <c r="E3" s="8">
        <v>325</v>
      </c>
      <c r="F3" s="9">
        <f>SUM(E3/B3)</f>
        <v>0.32532532532532532</v>
      </c>
      <c r="G3" s="8">
        <v>20</v>
      </c>
      <c r="H3" s="9">
        <f>SUM(G3/E3)</f>
        <v>6.1538461538461542E-2</v>
      </c>
    </row>
    <row r="4" spans="1:8" x14ac:dyDescent="0.25">
      <c r="A4" s="8" t="s">
        <v>26</v>
      </c>
      <c r="B4" s="8">
        <v>1453</v>
      </c>
      <c r="C4" s="8"/>
      <c r="D4" s="9"/>
      <c r="E4" s="8">
        <v>431</v>
      </c>
      <c r="F4" s="9">
        <f t="shared" ref="F4:F66" si="1">SUM(E4/B4)</f>
        <v>0.29662766689607706</v>
      </c>
      <c r="G4" s="8">
        <v>58</v>
      </c>
      <c r="H4" s="9">
        <f t="shared" ref="H4:H65" si="2">SUM(G4/E4)</f>
        <v>0.13457076566125289</v>
      </c>
    </row>
    <row r="5" spans="1:8" x14ac:dyDescent="0.25">
      <c r="A5" s="8" t="s">
        <v>102</v>
      </c>
      <c r="B5" s="8">
        <v>403</v>
      </c>
      <c r="C5" s="8">
        <v>85</v>
      </c>
      <c r="D5" s="9">
        <f t="shared" si="0"/>
        <v>0.21091811414392059</v>
      </c>
      <c r="E5" s="8"/>
      <c r="F5" s="9"/>
      <c r="G5" s="8"/>
      <c r="H5" s="9"/>
    </row>
    <row r="6" spans="1:8" x14ac:dyDescent="0.25">
      <c r="A6" s="8" t="s">
        <v>179</v>
      </c>
      <c r="B6" s="8">
        <v>1766</v>
      </c>
      <c r="C6" s="8"/>
      <c r="D6" s="9"/>
      <c r="E6" s="8">
        <v>400</v>
      </c>
      <c r="F6" s="9">
        <f t="shared" si="1"/>
        <v>0.22650056625141562</v>
      </c>
      <c r="G6" s="8">
        <v>31</v>
      </c>
      <c r="H6" s="9">
        <f t="shared" si="2"/>
        <v>7.7499999999999999E-2</v>
      </c>
    </row>
    <row r="7" spans="1:8" x14ac:dyDescent="0.25">
      <c r="A7" s="8" t="s">
        <v>31</v>
      </c>
      <c r="B7" s="8">
        <v>190</v>
      </c>
      <c r="C7" s="8">
        <v>47</v>
      </c>
      <c r="D7" s="9">
        <f t="shared" si="0"/>
        <v>0.24736842105263157</v>
      </c>
      <c r="E7" s="8"/>
      <c r="F7" s="9"/>
      <c r="G7" s="8"/>
      <c r="H7" s="9"/>
    </row>
    <row r="8" spans="1:8" x14ac:dyDescent="0.25">
      <c r="A8" s="8" t="s">
        <v>79</v>
      </c>
      <c r="B8" s="8">
        <v>920</v>
      </c>
      <c r="C8" s="8">
        <v>66</v>
      </c>
      <c r="D8" s="9">
        <f t="shared" si="0"/>
        <v>7.1739130434782611E-2</v>
      </c>
      <c r="E8" s="8">
        <v>140</v>
      </c>
      <c r="F8" s="9">
        <f t="shared" si="1"/>
        <v>0.15217391304347827</v>
      </c>
      <c r="G8" s="8">
        <v>3</v>
      </c>
      <c r="H8" s="9">
        <f t="shared" si="2"/>
        <v>2.1428571428571429E-2</v>
      </c>
    </row>
    <row r="9" spans="1:8" x14ac:dyDescent="0.25">
      <c r="A9" s="8" t="s">
        <v>43</v>
      </c>
      <c r="B9" s="8">
        <v>190</v>
      </c>
      <c r="C9" s="8">
        <v>34</v>
      </c>
      <c r="D9" s="9">
        <f t="shared" si="0"/>
        <v>0.17894736842105263</v>
      </c>
      <c r="E9" s="8"/>
      <c r="F9" s="9"/>
      <c r="G9" s="8"/>
      <c r="H9" s="9"/>
    </row>
    <row r="10" spans="1:8" x14ac:dyDescent="0.25">
      <c r="A10" s="8" t="s">
        <v>36</v>
      </c>
      <c r="B10" s="8">
        <v>1273</v>
      </c>
      <c r="C10" s="8">
        <v>152</v>
      </c>
      <c r="D10" s="9">
        <f t="shared" si="0"/>
        <v>0.11940298507462686</v>
      </c>
      <c r="E10" s="8">
        <v>127</v>
      </c>
      <c r="F10" s="9">
        <f t="shared" si="1"/>
        <v>9.9764336213668495E-2</v>
      </c>
      <c r="G10" s="8"/>
      <c r="H10" s="9"/>
    </row>
    <row r="11" spans="1:8" x14ac:dyDescent="0.25">
      <c r="A11" s="8" t="s">
        <v>160</v>
      </c>
      <c r="B11" s="10">
        <v>4888</v>
      </c>
      <c r="C11" s="8"/>
      <c r="D11" s="9"/>
      <c r="E11" s="8">
        <v>981</v>
      </c>
      <c r="F11" s="9">
        <f t="shared" si="1"/>
        <v>0.20069558101472995</v>
      </c>
      <c r="G11" s="8">
        <v>158</v>
      </c>
      <c r="H11" s="9">
        <f t="shared" si="2"/>
        <v>0.16106014271151886</v>
      </c>
    </row>
    <row r="12" spans="1:8" x14ac:dyDescent="0.25">
      <c r="A12" s="8" t="s">
        <v>159</v>
      </c>
      <c r="B12" s="8">
        <v>1722</v>
      </c>
      <c r="C12" s="8"/>
      <c r="D12" s="9"/>
      <c r="E12" s="8">
        <v>105</v>
      </c>
      <c r="F12" s="9">
        <f t="shared" si="1"/>
        <v>6.097560975609756E-2</v>
      </c>
      <c r="G12" s="8">
        <v>3</v>
      </c>
      <c r="H12" s="9">
        <f t="shared" si="2"/>
        <v>2.8571428571428571E-2</v>
      </c>
    </row>
    <row r="13" spans="1:8" x14ac:dyDescent="0.25">
      <c r="A13" s="8" t="s">
        <v>10</v>
      </c>
      <c r="B13" s="8">
        <v>204</v>
      </c>
      <c r="C13" s="8">
        <v>29</v>
      </c>
      <c r="D13" s="9">
        <f t="shared" si="0"/>
        <v>0.14215686274509803</v>
      </c>
      <c r="E13" s="8"/>
      <c r="F13" s="9"/>
      <c r="G13" s="8"/>
      <c r="H13" s="9"/>
    </row>
    <row r="14" spans="1:8" x14ac:dyDescent="0.25">
      <c r="A14" s="8" t="s">
        <v>111</v>
      </c>
      <c r="B14" s="8">
        <v>8670</v>
      </c>
      <c r="C14" s="8"/>
      <c r="D14" s="9"/>
      <c r="E14" s="8">
        <v>2268</v>
      </c>
      <c r="F14" s="9">
        <f t="shared" si="1"/>
        <v>0.26159169550173011</v>
      </c>
      <c r="G14" s="8">
        <v>375</v>
      </c>
      <c r="H14" s="9">
        <f t="shared" si="2"/>
        <v>0.16534391534391535</v>
      </c>
    </row>
    <row r="15" spans="1:8" x14ac:dyDescent="0.25">
      <c r="A15" s="8" t="s">
        <v>178</v>
      </c>
      <c r="B15" s="8">
        <v>992</v>
      </c>
      <c r="C15" s="8"/>
      <c r="D15" s="9"/>
      <c r="E15" s="8">
        <v>183</v>
      </c>
      <c r="F15" s="9">
        <f t="shared" si="1"/>
        <v>0.18447580645161291</v>
      </c>
      <c r="G15" s="8">
        <v>27</v>
      </c>
      <c r="H15" s="9">
        <f t="shared" si="2"/>
        <v>0.14754098360655737</v>
      </c>
    </row>
    <row r="16" spans="1:8" x14ac:dyDescent="0.25">
      <c r="A16" s="8" t="s">
        <v>143</v>
      </c>
      <c r="B16" s="8">
        <v>1894</v>
      </c>
      <c r="C16" s="8"/>
      <c r="D16" s="9"/>
      <c r="E16" s="8">
        <v>423</v>
      </c>
      <c r="F16" s="9">
        <f t="shared" si="1"/>
        <v>0.22333685322069693</v>
      </c>
      <c r="G16" s="8">
        <v>59</v>
      </c>
      <c r="H16" s="9">
        <f t="shared" si="2"/>
        <v>0.13947990543735225</v>
      </c>
    </row>
    <row r="17" spans="1:8" x14ac:dyDescent="0.25">
      <c r="A17" s="8" t="s">
        <v>183</v>
      </c>
      <c r="B17" s="8">
        <v>1307</v>
      </c>
      <c r="C17" s="8">
        <v>145</v>
      </c>
      <c r="D17" s="9">
        <f t="shared" si="0"/>
        <v>0.11094108645753634</v>
      </c>
      <c r="E17" s="8"/>
      <c r="F17" s="9"/>
      <c r="G17" s="8"/>
      <c r="H17" s="9"/>
    </row>
    <row r="18" spans="1:8" x14ac:dyDescent="0.25">
      <c r="A18" s="8" t="s">
        <v>46</v>
      </c>
      <c r="B18" s="8">
        <v>47</v>
      </c>
      <c r="C18" s="8" t="s">
        <v>165</v>
      </c>
      <c r="D18" s="9"/>
      <c r="E18" s="8"/>
      <c r="F18" s="9"/>
      <c r="G18" s="8"/>
      <c r="H18" s="9"/>
    </row>
    <row r="19" spans="1:8" x14ac:dyDescent="0.25">
      <c r="A19" s="8" t="s">
        <v>40</v>
      </c>
      <c r="B19" s="8">
        <v>934</v>
      </c>
      <c r="C19" s="8">
        <v>60</v>
      </c>
      <c r="D19" s="9">
        <f t="shared" si="0"/>
        <v>6.4239828693790149E-2</v>
      </c>
      <c r="E19" s="8">
        <v>296</v>
      </c>
      <c r="F19" s="9">
        <f t="shared" si="1"/>
        <v>0.31691648822269808</v>
      </c>
      <c r="G19" s="8">
        <v>23</v>
      </c>
      <c r="H19" s="9">
        <f t="shared" si="2"/>
        <v>7.77027027027027E-2</v>
      </c>
    </row>
    <row r="20" spans="1:8" x14ac:dyDescent="0.25">
      <c r="A20" s="8" t="s">
        <v>64</v>
      </c>
      <c r="B20" s="8">
        <v>1527</v>
      </c>
      <c r="C20" s="8">
        <v>159</v>
      </c>
      <c r="D20" s="9">
        <f t="shared" si="0"/>
        <v>0.10412573673870335</v>
      </c>
      <c r="E20" s="8"/>
      <c r="F20" s="9"/>
      <c r="G20" s="8"/>
      <c r="H20" s="9"/>
    </row>
    <row r="21" spans="1:8" x14ac:dyDescent="0.25">
      <c r="A21" s="8" t="s">
        <v>70</v>
      </c>
      <c r="B21" s="8">
        <v>912</v>
      </c>
      <c r="C21" s="8">
        <v>70</v>
      </c>
      <c r="D21" s="9">
        <f t="shared" si="0"/>
        <v>7.6754385964912283E-2</v>
      </c>
      <c r="E21" s="8"/>
      <c r="F21" s="9"/>
      <c r="G21" s="8"/>
      <c r="H21" s="9"/>
    </row>
    <row r="22" spans="1:8" x14ac:dyDescent="0.25">
      <c r="A22" s="8" t="s">
        <v>180</v>
      </c>
      <c r="B22" s="8">
        <v>2826</v>
      </c>
      <c r="C22" s="8"/>
      <c r="D22" s="9"/>
      <c r="E22" s="8">
        <v>1246</v>
      </c>
      <c r="F22" s="9">
        <f t="shared" si="1"/>
        <v>0.44090587402689313</v>
      </c>
      <c r="G22" s="8">
        <v>115</v>
      </c>
      <c r="H22" s="9">
        <f t="shared" si="2"/>
        <v>9.2295345104333862E-2</v>
      </c>
    </row>
    <row r="23" spans="1:8" x14ac:dyDescent="0.25">
      <c r="A23" s="8" t="s">
        <v>24</v>
      </c>
      <c r="B23" s="8">
        <v>8298</v>
      </c>
      <c r="C23" s="8">
        <v>145</v>
      </c>
      <c r="D23" s="9">
        <f t="shared" si="0"/>
        <v>1.7474090142202942E-2</v>
      </c>
      <c r="E23" s="8">
        <v>880</v>
      </c>
      <c r="F23" s="9">
        <f t="shared" si="1"/>
        <v>0.10604965051819716</v>
      </c>
      <c r="G23" s="8">
        <v>224</v>
      </c>
      <c r="H23" s="9">
        <f t="shared" si="2"/>
        <v>0.25454545454545452</v>
      </c>
    </row>
    <row r="24" spans="1:8" x14ac:dyDescent="0.25">
      <c r="A24" s="8" t="s">
        <v>146</v>
      </c>
      <c r="B24" s="8">
        <v>627</v>
      </c>
      <c r="C24" s="8">
        <v>84</v>
      </c>
      <c r="D24" s="9">
        <f t="shared" si="0"/>
        <v>0.13397129186602871</v>
      </c>
      <c r="E24" s="8"/>
      <c r="F24" s="9"/>
      <c r="G24" s="8"/>
      <c r="H24" s="9"/>
    </row>
    <row r="25" spans="1:8" x14ac:dyDescent="0.25">
      <c r="A25" s="8" t="s">
        <v>27</v>
      </c>
      <c r="B25" s="8">
        <v>767</v>
      </c>
      <c r="C25" s="8"/>
      <c r="D25" s="9"/>
      <c r="E25" s="8">
        <v>215</v>
      </c>
      <c r="F25" s="9">
        <f t="shared" si="1"/>
        <v>0.28031290743155152</v>
      </c>
      <c r="G25" s="8">
        <v>12</v>
      </c>
      <c r="H25" s="9">
        <f t="shared" si="2"/>
        <v>5.5813953488372092E-2</v>
      </c>
    </row>
    <row r="26" spans="1:8" x14ac:dyDescent="0.25">
      <c r="A26" s="8" t="s">
        <v>169</v>
      </c>
      <c r="B26" s="8">
        <v>878</v>
      </c>
      <c r="C26" s="8"/>
      <c r="D26" s="9"/>
      <c r="E26" s="8">
        <v>210</v>
      </c>
      <c r="F26" s="9">
        <f t="shared" si="1"/>
        <v>0.23917995444191345</v>
      </c>
      <c r="G26" s="8">
        <v>14</v>
      </c>
      <c r="H26" s="9">
        <f t="shared" si="2"/>
        <v>6.6666666666666666E-2</v>
      </c>
    </row>
    <row r="27" spans="1:8" x14ac:dyDescent="0.25">
      <c r="A27" s="8" t="s">
        <v>85</v>
      </c>
      <c r="B27" s="8">
        <v>2610</v>
      </c>
      <c r="C27" s="8">
        <v>122</v>
      </c>
      <c r="D27" s="9">
        <f t="shared" si="0"/>
        <v>4.674329501915709E-2</v>
      </c>
      <c r="E27" s="8">
        <v>525</v>
      </c>
      <c r="F27" s="9">
        <f t="shared" si="1"/>
        <v>0.20114942528735633</v>
      </c>
      <c r="G27" s="8">
        <v>27</v>
      </c>
      <c r="H27" s="9">
        <f t="shared" si="2"/>
        <v>5.1428571428571428E-2</v>
      </c>
    </row>
    <row r="28" spans="1:8" x14ac:dyDescent="0.25">
      <c r="A28" s="8" t="s">
        <v>62</v>
      </c>
      <c r="B28" s="8">
        <v>653</v>
      </c>
      <c r="C28" s="8"/>
      <c r="D28" s="9"/>
      <c r="E28" s="8"/>
      <c r="F28" s="9"/>
      <c r="G28" s="8"/>
      <c r="H28" s="9"/>
    </row>
    <row r="29" spans="1:8" x14ac:dyDescent="0.25">
      <c r="A29" s="8" t="s">
        <v>52</v>
      </c>
      <c r="B29" s="8">
        <v>75</v>
      </c>
      <c r="C29" s="8">
        <v>23</v>
      </c>
      <c r="D29" s="9">
        <f t="shared" si="0"/>
        <v>0.30666666666666664</v>
      </c>
      <c r="E29" s="8"/>
      <c r="F29" s="9"/>
      <c r="G29" s="8"/>
      <c r="H29" s="9"/>
    </row>
    <row r="30" spans="1:8" x14ac:dyDescent="0.25">
      <c r="A30" s="8" t="s">
        <v>32</v>
      </c>
      <c r="B30" s="8">
        <v>29685</v>
      </c>
      <c r="C30" s="8"/>
      <c r="D30" s="9"/>
      <c r="E30" s="8">
        <v>7707</v>
      </c>
      <c r="F30" s="9">
        <f t="shared" si="1"/>
        <v>0.25962607377463365</v>
      </c>
      <c r="G30" s="8">
        <v>1363</v>
      </c>
      <c r="H30" s="9">
        <f t="shared" si="2"/>
        <v>0.17685221227455561</v>
      </c>
    </row>
    <row r="31" spans="1:8" x14ac:dyDescent="0.25">
      <c r="A31" s="8" t="s">
        <v>153</v>
      </c>
      <c r="B31" s="8">
        <v>1047</v>
      </c>
      <c r="C31" s="8">
        <v>46</v>
      </c>
      <c r="D31" s="9">
        <f t="shared" si="0"/>
        <v>4.3935052531041068E-2</v>
      </c>
      <c r="E31" s="8">
        <v>286</v>
      </c>
      <c r="F31" s="9">
        <f t="shared" si="1"/>
        <v>0.27316141356255969</v>
      </c>
      <c r="G31" s="8">
        <v>22</v>
      </c>
      <c r="H31" s="9">
        <f t="shared" si="2"/>
        <v>7.6923076923076927E-2</v>
      </c>
    </row>
    <row r="32" spans="1:8" x14ac:dyDescent="0.25">
      <c r="A32" s="8" t="s">
        <v>108</v>
      </c>
      <c r="B32" s="8">
        <v>1294</v>
      </c>
      <c r="C32" s="8">
        <v>200</v>
      </c>
      <c r="D32" s="9">
        <f t="shared" si="0"/>
        <v>0.15455950540958269</v>
      </c>
      <c r="E32" s="8">
        <v>361</v>
      </c>
      <c r="F32" s="9">
        <f t="shared" si="1"/>
        <v>0.27897990726429678</v>
      </c>
      <c r="G32" s="8">
        <v>45</v>
      </c>
      <c r="H32" s="9">
        <f t="shared" si="2"/>
        <v>0.12465373961218837</v>
      </c>
    </row>
    <row r="33" spans="1:8" x14ac:dyDescent="0.25">
      <c r="A33" s="8" t="s">
        <v>73</v>
      </c>
      <c r="B33" s="8">
        <v>2899</v>
      </c>
      <c r="C33" s="8"/>
      <c r="D33" s="9"/>
      <c r="E33" s="8">
        <v>306</v>
      </c>
      <c r="F33" s="9">
        <f t="shared" si="1"/>
        <v>0.10555363918592618</v>
      </c>
      <c r="G33" s="8">
        <v>19</v>
      </c>
      <c r="H33" s="9">
        <f t="shared" si="2"/>
        <v>6.2091503267973858E-2</v>
      </c>
    </row>
    <row r="34" spans="1:8" x14ac:dyDescent="0.25">
      <c r="A34" s="8" t="s">
        <v>156</v>
      </c>
      <c r="B34" s="8">
        <v>593</v>
      </c>
      <c r="C34" s="8"/>
      <c r="D34" s="9"/>
      <c r="E34" s="8">
        <v>115</v>
      </c>
      <c r="F34" s="9">
        <f t="shared" si="1"/>
        <v>0.19392917369308602</v>
      </c>
      <c r="G34" s="8">
        <v>5</v>
      </c>
      <c r="H34" s="9">
        <f t="shared" si="2"/>
        <v>4.3478260869565216E-2</v>
      </c>
    </row>
    <row r="35" spans="1:8" x14ac:dyDescent="0.25">
      <c r="A35" s="8" t="s">
        <v>181</v>
      </c>
      <c r="B35" s="8">
        <v>1040</v>
      </c>
      <c r="C35" s="8"/>
      <c r="D35" s="9"/>
      <c r="E35" s="8"/>
      <c r="F35" s="9"/>
      <c r="G35" s="8"/>
      <c r="H35" s="9"/>
    </row>
    <row r="36" spans="1:8" x14ac:dyDescent="0.25">
      <c r="A36" s="8" t="s">
        <v>80</v>
      </c>
      <c r="B36" s="8">
        <v>655</v>
      </c>
      <c r="C36" s="8">
        <v>97</v>
      </c>
      <c r="D36" s="9">
        <f t="shared" si="0"/>
        <v>0.14809160305343511</v>
      </c>
      <c r="E36" s="8">
        <v>52</v>
      </c>
      <c r="F36" s="9">
        <f t="shared" si="1"/>
        <v>7.9389312977099238E-2</v>
      </c>
      <c r="G36" s="8"/>
      <c r="H36" s="9"/>
    </row>
    <row r="37" spans="1:8" x14ac:dyDescent="0.25">
      <c r="A37" s="8" t="s">
        <v>139</v>
      </c>
      <c r="B37" s="8">
        <v>913</v>
      </c>
      <c r="C37" s="8">
        <v>94</v>
      </c>
      <c r="D37" s="9">
        <f t="shared" si="0"/>
        <v>0.10295728368017525</v>
      </c>
      <c r="E37" s="8"/>
      <c r="F37" s="9"/>
      <c r="G37" s="8"/>
      <c r="H37" s="9"/>
    </row>
    <row r="38" spans="1:8" x14ac:dyDescent="0.25">
      <c r="A38" s="8" t="s">
        <v>82</v>
      </c>
      <c r="B38" s="8">
        <v>2244</v>
      </c>
      <c r="C38" s="8">
        <v>87</v>
      </c>
      <c r="D38" s="9">
        <f t="shared" si="0"/>
        <v>3.8770053475935831E-2</v>
      </c>
      <c r="E38" s="8">
        <v>402</v>
      </c>
      <c r="F38" s="9">
        <f t="shared" si="1"/>
        <v>0.17914438502673796</v>
      </c>
      <c r="G38" s="8">
        <v>11</v>
      </c>
      <c r="H38" s="9">
        <f t="shared" si="2"/>
        <v>2.736318407960199E-2</v>
      </c>
    </row>
    <row r="39" spans="1:8" x14ac:dyDescent="0.25">
      <c r="A39" s="8" t="s">
        <v>148</v>
      </c>
      <c r="B39" s="8"/>
      <c r="C39" s="8"/>
      <c r="D39" s="9"/>
      <c r="E39" s="8">
        <v>249</v>
      </c>
      <c r="F39" s="9"/>
      <c r="G39" s="8">
        <v>32</v>
      </c>
      <c r="H39" s="9">
        <f t="shared" si="2"/>
        <v>0.12851405622489959</v>
      </c>
    </row>
    <row r="40" spans="1:8" x14ac:dyDescent="0.25">
      <c r="A40" s="8" t="s">
        <v>136</v>
      </c>
      <c r="B40" s="8">
        <v>49</v>
      </c>
      <c r="C40" s="8"/>
      <c r="D40" s="9"/>
      <c r="E40" s="8">
        <v>500</v>
      </c>
      <c r="F40" s="9">
        <f t="shared" si="1"/>
        <v>10.204081632653061</v>
      </c>
      <c r="G40" s="8">
        <v>23</v>
      </c>
      <c r="H40" s="9">
        <f t="shared" si="2"/>
        <v>4.5999999999999999E-2</v>
      </c>
    </row>
    <row r="41" spans="1:8" x14ac:dyDescent="0.25">
      <c r="A41" s="8" t="s">
        <v>123</v>
      </c>
      <c r="B41" s="8">
        <v>11328</v>
      </c>
      <c r="C41" s="8"/>
      <c r="D41" s="9"/>
      <c r="E41" s="8">
        <v>2958</v>
      </c>
      <c r="F41" s="9">
        <f t="shared" si="1"/>
        <v>0.2611228813559322</v>
      </c>
      <c r="G41" s="8">
        <v>556</v>
      </c>
      <c r="H41" s="9">
        <f t="shared" si="2"/>
        <v>0.18796484110885733</v>
      </c>
    </row>
    <row r="42" spans="1:8" x14ac:dyDescent="0.25">
      <c r="A42" s="8" t="s">
        <v>72</v>
      </c>
      <c r="B42" s="8">
        <v>785</v>
      </c>
      <c r="C42" s="8"/>
      <c r="D42" s="9"/>
      <c r="E42" s="8">
        <v>340</v>
      </c>
      <c r="F42" s="9">
        <f t="shared" si="1"/>
        <v>0.43312101910828027</v>
      </c>
      <c r="G42" s="8">
        <v>78</v>
      </c>
      <c r="H42" s="9">
        <f t="shared" si="2"/>
        <v>0.22941176470588234</v>
      </c>
    </row>
    <row r="43" spans="1:8" x14ac:dyDescent="0.25">
      <c r="A43" s="8" t="s">
        <v>37</v>
      </c>
      <c r="B43" s="8">
        <v>966</v>
      </c>
      <c r="C43" s="8">
        <v>100</v>
      </c>
      <c r="D43" s="9">
        <f t="shared" si="0"/>
        <v>0.10351966873706005</v>
      </c>
      <c r="E43" s="8">
        <v>235</v>
      </c>
      <c r="F43" s="9">
        <f t="shared" si="1"/>
        <v>0.2432712215320911</v>
      </c>
      <c r="G43" s="8">
        <v>16</v>
      </c>
      <c r="H43" s="9">
        <f t="shared" si="2"/>
        <v>6.8085106382978725E-2</v>
      </c>
    </row>
    <row r="44" spans="1:8" x14ac:dyDescent="0.25">
      <c r="A44" s="8" t="s">
        <v>91</v>
      </c>
      <c r="B44" s="8">
        <v>682</v>
      </c>
      <c r="C44" s="8">
        <v>79</v>
      </c>
      <c r="D44" s="9">
        <f t="shared" si="0"/>
        <v>0.1158357771260997</v>
      </c>
      <c r="E44" s="8"/>
      <c r="F44" s="9"/>
      <c r="G44" s="8"/>
      <c r="H44" s="9"/>
    </row>
    <row r="45" spans="1:8" x14ac:dyDescent="0.25">
      <c r="A45" s="8" t="s">
        <v>63</v>
      </c>
      <c r="B45" s="8">
        <v>892</v>
      </c>
      <c r="C45" s="8">
        <v>52</v>
      </c>
      <c r="D45" s="9">
        <f t="shared" si="0"/>
        <v>5.829596412556054E-2</v>
      </c>
      <c r="E45" s="8">
        <v>455</v>
      </c>
      <c r="F45" s="9">
        <f t="shared" si="1"/>
        <v>0.51008968609865468</v>
      </c>
      <c r="G45" s="8">
        <v>197</v>
      </c>
      <c r="H45" s="9">
        <f t="shared" si="2"/>
        <v>0.43296703296703298</v>
      </c>
    </row>
    <row r="46" spans="1:8" x14ac:dyDescent="0.25">
      <c r="A46" s="8" t="s">
        <v>60</v>
      </c>
      <c r="B46" s="8">
        <v>1658</v>
      </c>
      <c r="C46" s="8">
        <v>230</v>
      </c>
      <c r="D46" s="9">
        <f t="shared" si="0"/>
        <v>0.13872135102533173</v>
      </c>
      <c r="E46" s="8">
        <v>288</v>
      </c>
      <c r="F46" s="9">
        <f t="shared" si="1"/>
        <v>0.17370325693606756</v>
      </c>
      <c r="G46" s="8">
        <v>9</v>
      </c>
      <c r="H46" s="9">
        <f t="shared" si="2"/>
        <v>3.125E-2</v>
      </c>
    </row>
    <row r="47" spans="1:8" x14ac:dyDescent="0.25">
      <c r="A47" s="8" t="s">
        <v>48</v>
      </c>
      <c r="B47" s="8">
        <v>3052</v>
      </c>
      <c r="C47" s="8"/>
      <c r="D47" s="9"/>
      <c r="E47" s="8">
        <v>769</v>
      </c>
      <c r="F47" s="9">
        <f t="shared" si="1"/>
        <v>0.25196592398427259</v>
      </c>
      <c r="G47" s="8">
        <v>156</v>
      </c>
      <c r="H47" s="9">
        <f t="shared" si="2"/>
        <v>0.20286085825747724</v>
      </c>
    </row>
    <row r="48" spans="1:8" x14ac:dyDescent="0.25">
      <c r="A48" s="8" t="s">
        <v>184</v>
      </c>
      <c r="B48" s="8">
        <v>1664</v>
      </c>
      <c r="C48" s="8">
        <v>127</v>
      </c>
      <c r="D48" s="9">
        <f t="shared" si="0"/>
        <v>7.6322115384615391E-2</v>
      </c>
      <c r="E48" s="8">
        <v>385</v>
      </c>
      <c r="F48" s="9">
        <f t="shared" si="1"/>
        <v>0.23137019230769232</v>
      </c>
      <c r="G48" s="8">
        <v>21</v>
      </c>
      <c r="H48" s="9">
        <f t="shared" si="2"/>
        <v>5.4545454545454543E-2</v>
      </c>
    </row>
    <row r="49" spans="1:8" x14ac:dyDescent="0.25">
      <c r="A49" s="8" t="s">
        <v>185</v>
      </c>
      <c r="B49" s="8">
        <v>1654</v>
      </c>
      <c r="C49" s="8">
        <v>100</v>
      </c>
      <c r="D49" s="9">
        <f t="shared" si="0"/>
        <v>6.0459492140266025E-2</v>
      </c>
      <c r="E49" s="8">
        <v>309</v>
      </c>
      <c r="F49" s="9">
        <f t="shared" si="1"/>
        <v>0.18681983071342201</v>
      </c>
      <c r="G49" s="8">
        <v>31</v>
      </c>
      <c r="H49" s="9">
        <f t="shared" si="2"/>
        <v>0.10032362459546926</v>
      </c>
    </row>
    <row r="50" spans="1:8" x14ac:dyDescent="0.25">
      <c r="A50" s="8" t="s">
        <v>157</v>
      </c>
      <c r="B50" s="10">
        <v>1043</v>
      </c>
      <c r="C50" s="8">
        <v>144</v>
      </c>
      <c r="D50" s="9">
        <f t="shared" si="0"/>
        <v>0.13806327900287632</v>
      </c>
      <c r="E50" s="8">
        <v>244</v>
      </c>
      <c r="F50" s="9">
        <f t="shared" si="1"/>
        <v>0.2339405560882071</v>
      </c>
      <c r="G50" s="8">
        <v>4</v>
      </c>
      <c r="H50" s="9">
        <f t="shared" si="2"/>
        <v>1.6393442622950821E-2</v>
      </c>
    </row>
    <row r="51" spans="1:8" x14ac:dyDescent="0.25">
      <c r="A51" s="8" t="s">
        <v>186</v>
      </c>
      <c r="B51" s="8">
        <v>189</v>
      </c>
      <c r="C51" s="8">
        <v>24</v>
      </c>
      <c r="D51" s="9">
        <f t="shared" si="0"/>
        <v>0.12698412698412698</v>
      </c>
      <c r="E51" s="8">
        <v>69</v>
      </c>
      <c r="F51" s="9">
        <f t="shared" si="1"/>
        <v>0.36507936507936506</v>
      </c>
      <c r="G51" s="8">
        <v>10</v>
      </c>
      <c r="H51" s="9">
        <f t="shared" si="2"/>
        <v>0.14492753623188406</v>
      </c>
    </row>
    <row r="52" spans="1:8" x14ac:dyDescent="0.25">
      <c r="A52" s="8" t="s">
        <v>56</v>
      </c>
      <c r="B52" s="8">
        <v>1995</v>
      </c>
      <c r="C52" s="8">
        <v>200</v>
      </c>
      <c r="D52" s="9">
        <f t="shared" si="0"/>
        <v>0.10025062656641603</v>
      </c>
      <c r="E52" s="8">
        <v>542</v>
      </c>
      <c r="F52" s="9">
        <f t="shared" si="1"/>
        <v>0.27167919799498746</v>
      </c>
      <c r="G52" s="8">
        <v>58</v>
      </c>
      <c r="H52" s="9">
        <f t="shared" si="2"/>
        <v>0.1070110701107011</v>
      </c>
    </row>
    <row r="53" spans="1:8" x14ac:dyDescent="0.25">
      <c r="A53" s="8" t="s">
        <v>167</v>
      </c>
      <c r="B53" s="8">
        <v>15712</v>
      </c>
      <c r="C53" s="8">
        <v>261</v>
      </c>
      <c r="D53" s="9">
        <f t="shared" si="0"/>
        <v>1.6611507128309572E-2</v>
      </c>
      <c r="E53" s="8">
        <v>2101</v>
      </c>
      <c r="F53" s="9">
        <f t="shared" si="1"/>
        <v>0.133719450101833</v>
      </c>
      <c r="G53" s="8">
        <v>265</v>
      </c>
      <c r="H53" s="9">
        <f t="shared" si="2"/>
        <v>0.12613041408852926</v>
      </c>
    </row>
    <row r="54" spans="1:8" x14ac:dyDescent="0.25">
      <c r="A54" s="8" t="s">
        <v>55</v>
      </c>
      <c r="B54" s="8">
        <v>1632</v>
      </c>
      <c r="C54" s="8"/>
      <c r="D54" s="9"/>
      <c r="E54" s="8">
        <v>459</v>
      </c>
      <c r="F54" s="9">
        <f t="shared" si="1"/>
        <v>0.28125</v>
      </c>
      <c r="G54" s="8">
        <v>48</v>
      </c>
      <c r="H54" s="9">
        <f t="shared" si="2"/>
        <v>0.10457516339869281</v>
      </c>
    </row>
    <row r="55" spans="1:8" x14ac:dyDescent="0.25">
      <c r="A55" s="8" t="s">
        <v>187</v>
      </c>
      <c r="B55" s="8">
        <v>3299</v>
      </c>
      <c r="C55" s="8">
        <v>98</v>
      </c>
      <c r="D55" s="9">
        <f t="shared" si="0"/>
        <v>2.9705971506517128E-2</v>
      </c>
      <c r="E55" s="8">
        <v>614</v>
      </c>
      <c r="F55" s="9">
        <f t="shared" si="1"/>
        <v>0.18611700515307669</v>
      </c>
      <c r="G55" s="8">
        <v>26</v>
      </c>
      <c r="H55" s="9">
        <f t="shared" si="2"/>
        <v>4.2345276872964167E-2</v>
      </c>
    </row>
    <row r="56" spans="1:8" x14ac:dyDescent="0.25">
      <c r="A56" s="8" t="s">
        <v>50</v>
      </c>
      <c r="B56" s="8">
        <v>1245</v>
      </c>
      <c r="C56" s="8">
        <v>100</v>
      </c>
      <c r="D56" s="9">
        <f t="shared" si="0"/>
        <v>8.0321285140562249E-2</v>
      </c>
      <c r="E56" s="8">
        <v>212</v>
      </c>
      <c r="F56" s="9">
        <f t="shared" si="1"/>
        <v>0.17028112449799196</v>
      </c>
      <c r="G56" s="8">
        <v>3</v>
      </c>
      <c r="H56" s="9">
        <f t="shared" si="2"/>
        <v>1.4150943396226415E-2</v>
      </c>
    </row>
    <row r="57" spans="1:8" x14ac:dyDescent="0.25">
      <c r="A57" s="8" t="s">
        <v>45</v>
      </c>
      <c r="B57" s="8">
        <v>726</v>
      </c>
      <c r="C57" s="8">
        <v>80</v>
      </c>
      <c r="D57" s="9">
        <f t="shared" si="0"/>
        <v>0.11019283746556474</v>
      </c>
      <c r="E57" s="8"/>
      <c r="F57" s="9"/>
      <c r="G57" s="8"/>
      <c r="H57" s="9"/>
    </row>
    <row r="58" spans="1:8" x14ac:dyDescent="0.25">
      <c r="A58" s="8" t="s">
        <v>151</v>
      </c>
      <c r="B58" s="8">
        <v>1077</v>
      </c>
      <c r="C58" s="8">
        <v>87</v>
      </c>
      <c r="D58" s="9">
        <f t="shared" si="0"/>
        <v>8.0779944289693595E-2</v>
      </c>
      <c r="E58" s="8"/>
      <c r="F58" s="9"/>
      <c r="G58" s="8"/>
      <c r="H58" s="9"/>
    </row>
    <row r="59" spans="1:8" x14ac:dyDescent="0.25">
      <c r="A59" s="8" t="s">
        <v>86</v>
      </c>
      <c r="B59" s="8">
        <v>865</v>
      </c>
      <c r="C59" s="8">
        <v>125</v>
      </c>
      <c r="D59" s="9">
        <f t="shared" si="0"/>
        <v>0.14450867052023122</v>
      </c>
      <c r="E59" s="8"/>
      <c r="F59" s="9"/>
      <c r="G59" s="8"/>
      <c r="H59" s="9"/>
    </row>
    <row r="60" spans="1:8" x14ac:dyDescent="0.25">
      <c r="A60" s="8" t="s">
        <v>171</v>
      </c>
      <c r="B60" s="8">
        <v>866</v>
      </c>
      <c r="C60" s="8">
        <v>79</v>
      </c>
      <c r="D60" s="9">
        <f t="shared" si="0"/>
        <v>9.1224018475750582E-2</v>
      </c>
      <c r="E60" s="8">
        <v>171</v>
      </c>
      <c r="F60" s="9">
        <f t="shared" si="1"/>
        <v>0.197459584295612</v>
      </c>
      <c r="G60" s="8">
        <v>15</v>
      </c>
      <c r="H60" s="9">
        <f t="shared" si="2"/>
        <v>8.771929824561403E-2</v>
      </c>
    </row>
    <row r="61" spans="1:8" x14ac:dyDescent="0.25">
      <c r="A61" s="8" t="s">
        <v>65</v>
      </c>
      <c r="B61" s="8">
        <v>3200</v>
      </c>
      <c r="C61" s="8">
        <v>170</v>
      </c>
      <c r="D61" s="9">
        <f t="shared" si="0"/>
        <v>5.3124999999999999E-2</v>
      </c>
      <c r="E61" s="8">
        <v>791</v>
      </c>
      <c r="F61" s="9">
        <f t="shared" si="1"/>
        <v>0.2471875</v>
      </c>
      <c r="G61" s="8">
        <v>84</v>
      </c>
      <c r="H61" s="9">
        <f t="shared" si="2"/>
        <v>0.10619469026548672</v>
      </c>
    </row>
    <row r="62" spans="1:8" x14ac:dyDescent="0.25">
      <c r="A62" s="8" t="s">
        <v>101</v>
      </c>
      <c r="B62" s="8">
        <v>774</v>
      </c>
      <c r="C62" s="8">
        <v>97</v>
      </c>
      <c r="D62" s="9">
        <f t="shared" si="0"/>
        <v>0.12532299741602068</v>
      </c>
      <c r="E62" s="8"/>
      <c r="F62" s="9"/>
      <c r="G62" s="8"/>
      <c r="H62" s="9"/>
    </row>
    <row r="63" spans="1:8" x14ac:dyDescent="0.25">
      <c r="A63" s="8" t="s">
        <v>4</v>
      </c>
      <c r="B63" s="8">
        <v>168</v>
      </c>
      <c r="C63" s="8"/>
      <c r="D63" s="9"/>
      <c r="E63" s="8">
        <v>66</v>
      </c>
      <c r="F63" s="9">
        <f t="shared" si="1"/>
        <v>0.39285714285714285</v>
      </c>
      <c r="G63" s="8">
        <v>6</v>
      </c>
      <c r="H63" s="9">
        <f t="shared" si="2"/>
        <v>9.0909090909090912E-2</v>
      </c>
    </row>
    <row r="64" spans="1:8" x14ac:dyDescent="0.25">
      <c r="A64" s="8" t="s">
        <v>30</v>
      </c>
      <c r="B64" s="8">
        <v>496</v>
      </c>
      <c r="C64" s="8">
        <v>76</v>
      </c>
      <c r="D64" s="9">
        <f t="shared" si="0"/>
        <v>0.15322580645161291</v>
      </c>
      <c r="E64" s="8">
        <v>205</v>
      </c>
      <c r="F64" s="9">
        <f t="shared" si="1"/>
        <v>0.41330645161290325</v>
      </c>
      <c r="G64" s="8">
        <v>17</v>
      </c>
      <c r="H64" s="9">
        <f t="shared" si="2"/>
        <v>8.2926829268292687E-2</v>
      </c>
    </row>
    <row r="65" spans="1:8" x14ac:dyDescent="0.25">
      <c r="A65" s="8" t="s">
        <v>77</v>
      </c>
      <c r="B65" s="8">
        <v>57</v>
      </c>
      <c r="C65" s="8">
        <v>23</v>
      </c>
      <c r="D65" s="9">
        <f t="shared" si="0"/>
        <v>0.40350877192982454</v>
      </c>
      <c r="E65" s="8">
        <v>14</v>
      </c>
      <c r="F65" s="9">
        <f t="shared" si="1"/>
        <v>0.24561403508771928</v>
      </c>
      <c r="G65" s="8">
        <v>2</v>
      </c>
      <c r="H65" s="9">
        <f t="shared" si="2"/>
        <v>0.14285714285714285</v>
      </c>
    </row>
    <row r="66" spans="1:8" x14ac:dyDescent="0.25">
      <c r="A66" s="8" t="s">
        <v>150</v>
      </c>
      <c r="B66" s="8">
        <v>1550</v>
      </c>
      <c r="C66" s="8"/>
      <c r="D66" s="9"/>
      <c r="E66" s="8">
        <v>776</v>
      </c>
      <c r="F66" s="9">
        <f t="shared" si="1"/>
        <v>0.50064516129032255</v>
      </c>
      <c r="G66" s="8"/>
      <c r="H66" s="9"/>
    </row>
    <row r="67" spans="1:8" x14ac:dyDescent="0.25">
      <c r="A67" s="8" t="s">
        <v>67</v>
      </c>
      <c r="B67" s="8">
        <v>228</v>
      </c>
      <c r="C67" s="8">
        <v>32</v>
      </c>
      <c r="D67" s="9">
        <f t="shared" ref="D67:D130" si="3">SUM(C67/B67)</f>
        <v>0.14035087719298245</v>
      </c>
      <c r="E67" s="8"/>
      <c r="F67" s="9"/>
      <c r="G67" s="8"/>
      <c r="H67" s="9"/>
    </row>
    <row r="68" spans="1:8" x14ac:dyDescent="0.25">
      <c r="A68" s="8" t="s">
        <v>137</v>
      </c>
      <c r="B68" s="8">
        <v>569</v>
      </c>
      <c r="C68" s="8">
        <v>110</v>
      </c>
      <c r="D68" s="9">
        <f t="shared" si="3"/>
        <v>0.19332161687170474</v>
      </c>
      <c r="E68" s="8">
        <v>112</v>
      </c>
      <c r="F68" s="9">
        <f t="shared" ref="F68:F131" si="4">SUM(E68/B68)</f>
        <v>0.19683655536028119</v>
      </c>
      <c r="G68" s="8">
        <v>9</v>
      </c>
      <c r="H68" s="9">
        <f t="shared" ref="H68:H131" si="5">SUM(G68/E68)</f>
        <v>8.0357142857142863E-2</v>
      </c>
    </row>
    <row r="69" spans="1:8" x14ac:dyDescent="0.25">
      <c r="A69" s="8" t="s">
        <v>35</v>
      </c>
      <c r="B69" s="8">
        <v>643</v>
      </c>
      <c r="C69" s="8">
        <v>123</v>
      </c>
      <c r="D69" s="9">
        <f t="shared" si="3"/>
        <v>0.19129082426127528</v>
      </c>
      <c r="E69" s="8"/>
      <c r="F69" s="9"/>
      <c r="G69" s="8"/>
      <c r="H69" s="9"/>
    </row>
    <row r="70" spans="1:8" x14ac:dyDescent="0.25">
      <c r="A70" s="8" t="s">
        <v>12</v>
      </c>
      <c r="B70" s="8">
        <v>188</v>
      </c>
      <c r="C70" s="8"/>
      <c r="D70" s="9"/>
      <c r="E70" s="8">
        <v>68</v>
      </c>
      <c r="F70" s="9">
        <f t="shared" si="4"/>
        <v>0.36170212765957449</v>
      </c>
      <c r="G70" s="8">
        <v>12</v>
      </c>
      <c r="H70" s="9">
        <f t="shared" si="5"/>
        <v>0.17647058823529413</v>
      </c>
    </row>
    <row r="71" spans="1:8" x14ac:dyDescent="0.25">
      <c r="A71" s="8" t="s">
        <v>188</v>
      </c>
      <c r="B71" s="8">
        <v>1646</v>
      </c>
      <c r="C71" s="8"/>
      <c r="D71" s="9"/>
      <c r="E71" s="8">
        <v>192</v>
      </c>
      <c r="F71" s="9">
        <f t="shared" si="4"/>
        <v>0.1166464155528554</v>
      </c>
      <c r="G71" s="8">
        <v>3</v>
      </c>
      <c r="H71" s="9">
        <f t="shared" si="5"/>
        <v>1.5625E-2</v>
      </c>
    </row>
    <row r="72" spans="1:8" x14ac:dyDescent="0.25">
      <c r="A72" s="8" t="s">
        <v>19</v>
      </c>
      <c r="B72" s="8">
        <v>526</v>
      </c>
      <c r="C72" s="8">
        <v>95</v>
      </c>
      <c r="D72" s="9">
        <f t="shared" si="3"/>
        <v>0.1806083650190114</v>
      </c>
      <c r="E72" s="8">
        <v>146</v>
      </c>
      <c r="F72" s="9">
        <f t="shared" si="4"/>
        <v>0.27756653992395436</v>
      </c>
      <c r="G72" s="8">
        <v>11</v>
      </c>
      <c r="H72" s="9">
        <f t="shared" si="5"/>
        <v>7.5342465753424653E-2</v>
      </c>
    </row>
    <row r="73" spans="1:8" x14ac:dyDescent="0.25">
      <c r="A73" s="8" t="s">
        <v>140</v>
      </c>
      <c r="B73" s="8">
        <v>8866</v>
      </c>
      <c r="C73" s="8"/>
      <c r="D73" s="9"/>
      <c r="E73" s="8">
        <v>1647</v>
      </c>
      <c r="F73" s="9">
        <f t="shared" si="4"/>
        <v>0.18576584705616964</v>
      </c>
      <c r="G73" s="8">
        <v>211</v>
      </c>
      <c r="H73" s="9">
        <f t="shared" si="5"/>
        <v>0.12811171827565271</v>
      </c>
    </row>
    <row r="74" spans="1:8" x14ac:dyDescent="0.25">
      <c r="A74" s="8" t="s">
        <v>155</v>
      </c>
      <c r="B74" s="8">
        <v>2430</v>
      </c>
      <c r="C74" s="8">
        <v>178</v>
      </c>
      <c r="D74" s="9">
        <f t="shared" si="3"/>
        <v>7.3251028806584365E-2</v>
      </c>
      <c r="E74" s="8">
        <v>592</v>
      </c>
      <c r="F74" s="9">
        <f t="shared" si="4"/>
        <v>0.24362139917695474</v>
      </c>
      <c r="G74" s="8">
        <v>32</v>
      </c>
      <c r="H74" s="9">
        <f t="shared" si="5"/>
        <v>5.4054054054054057E-2</v>
      </c>
    </row>
    <row r="75" spans="1:8" x14ac:dyDescent="0.25">
      <c r="A75" s="8" t="s">
        <v>114</v>
      </c>
      <c r="B75" s="8">
        <v>2025</v>
      </c>
      <c r="C75" s="8">
        <v>129</v>
      </c>
      <c r="D75" s="9">
        <f t="shared" si="3"/>
        <v>6.3703703703703707E-2</v>
      </c>
      <c r="E75" s="8">
        <v>444</v>
      </c>
      <c r="F75" s="9">
        <f t="shared" si="4"/>
        <v>0.21925925925925926</v>
      </c>
      <c r="G75" s="8">
        <v>31</v>
      </c>
      <c r="H75" s="9">
        <f t="shared" si="5"/>
        <v>6.9819819819819814E-2</v>
      </c>
    </row>
    <row r="76" spans="1:8" x14ac:dyDescent="0.25">
      <c r="A76" s="8" t="s">
        <v>147</v>
      </c>
      <c r="B76" s="8">
        <v>3681</v>
      </c>
      <c r="C76" s="8"/>
      <c r="D76" s="9"/>
      <c r="E76" s="8">
        <v>780</v>
      </c>
      <c r="F76" s="9">
        <f t="shared" si="4"/>
        <v>0.21189894050529748</v>
      </c>
      <c r="G76" s="8">
        <v>114</v>
      </c>
      <c r="H76" s="9">
        <f t="shared" si="5"/>
        <v>0.14615384615384616</v>
      </c>
    </row>
    <row r="77" spans="1:8" x14ac:dyDescent="0.25">
      <c r="A77" s="8" t="s">
        <v>74</v>
      </c>
      <c r="B77" s="8">
        <v>390</v>
      </c>
      <c r="C77" s="8">
        <v>76</v>
      </c>
      <c r="D77" s="9">
        <f t="shared" si="3"/>
        <v>0.19487179487179487</v>
      </c>
      <c r="E77" s="8">
        <v>104</v>
      </c>
      <c r="F77" s="9">
        <f t="shared" si="4"/>
        <v>0.26666666666666666</v>
      </c>
      <c r="G77" s="8">
        <v>4</v>
      </c>
      <c r="H77" s="9">
        <f t="shared" si="5"/>
        <v>3.8461538461538464E-2</v>
      </c>
    </row>
    <row r="78" spans="1:8" x14ac:dyDescent="0.25">
      <c r="A78" s="8" t="s">
        <v>22</v>
      </c>
      <c r="B78" s="8">
        <v>502</v>
      </c>
      <c r="C78" s="8">
        <v>49</v>
      </c>
      <c r="D78" s="9">
        <f t="shared" si="3"/>
        <v>9.7609561752988044E-2</v>
      </c>
      <c r="E78" s="8">
        <v>145</v>
      </c>
      <c r="F78" s="9">
        <f t="shared" si="4"/>
        <v>0.28884462151394424</v>
      </c>
      <c r="G78" s="8">
        <v>8</v>
      </c>
      <c r="H78" s="9">
        <f t="shared" si="5"/>
        <v>5.5172413793103448E-2</v>
      </c>
    </row>
    <row r="79" spans="1:8" x14ac:dyDescent="0.25">
      <c r="A79" s="8" t="s">
        <v>17</v>
      </c>
      <c r="B79" s="8">
        <v>1453</v>
      </c>
      <c r="C79" s="8">
        <v>120</v>
      </c>
      <c r="D79" s="9">
        <f t="shared" si="3"/>
        <v>8.2587749483826564E-2</v>
      </c>
      <c r="E79" s="8">
        <v>338</v>
      </c>
      <c r="F79" s="9">
        <f t="shared" si="4"/>
        <v>0.2326221610461115</v>
      </c>
      <c r="G79" s="8"/>
      <c r="H79" s="9"/>
    </row>
    <row r="80" spans="1:8" x14ac:dyDescent="0.25">
      <c r="A80" s="8" t="s">
        <v>173</v>
      </c>
      <c r="B80" s="8">
        <v>1986</v>
      </c>
      <c r="C80" s="8">
        <v>140</v>
      </c>
      <c r="D80" s="9">
        <f t="shared" si="3"/>
        <v>7.0493454179254789E-2</v>
      </c>
      <c r="E80" s="8">
        <v>220</v>
      </c>
      <c r="F80" s="9">
        <f t="shared" si="4"/>
        <v>0.1107754279959718</v>
      </c>
      <c r="G80" s="8">
        <v>28</v>
      </c>
      <c r="H80" s="9">
        <f t="shared" si="5"/>
        <v>0.12727272727272726</v>
      </c>
    </row>
    <row r="81" spans="1:8" x14ac:dyDescent="0.25">
      <c r="A81" s="8" t="s">
        <v>98</v>
      </c>
      <c r="B81" s="8">
        <v>325</v>
      </c>
      <c r="C81" s="8">
        <v>38</v>
      </c>
      <c r="D81" s="9">
        <f t="shared" si="3"/>
        <v>0.11692307692307692</v>
      </c>
      <c r="E81" s="8">
        <v>64</v>
      </c>
      <c r="F81" s="9">
        <f t="shared" si="4"/>
        <v>0.19692307692307692</v>
      </c>
      <c r="G81" s="8">
        <v>4</v>
      </c>
      <c r="H81" s="9">
        <f t="shared" si="5"/>
        <v>6.25E-2</v>
      </c>
    </row>
    <row r="82" spans="1:8" x14ac:dyDescent="0.25">
      <c r="A82" s="8" t="s">
        <v>144</v>
      </c>
      <c r="B82" s="8">
        <v>737</v>
      </c>
      <c r="C82" s="8">
        <v>120</v>
      </c>
      <c r="D82" s="9">
        <f t="shared" si="3"/>
        <v>0.16282225237449119</v>
      </c>
      <c r="E82" s="8"/>
      <c r="F82" s="9"/>
      <c r="G82" s="8"/>
      <c r="H82" s="9"/>
    </row>
    <row r="83" spans="1:8" x14ac:dyDescent="0.25">
      <c r="A83" s="8" t="s">
        <v>115</v>
      </c>
      <c r="B83" s="8">
        <v>385</v>
      </c>
      <c r="C83" s="8"/>
      <c r="D83" s="9"/>
      <c r="E83" s="8">
        <v>165</v>
      </c>
      <c r="F83" s="9">
        <f t="shared" si="4"/>
        <v>0.42857142857142855</v>
      </c>
      <c r="G83" s="8">
        <v>27</v>
      </c>
      <c r="H83" s="9">
        <f t="shared" si="5"/>
        <v>0.16363636363636364</v>
      </c>
    </row>
    <row r="84" spans="1:8" x14ac:dyDescent="0.25">
      <c r="A84" s="8" t="s">
        <v>49</v>
      </c>
      <c r="B84" s="8">
        <v>631</v>
      </c>
      <c r="C84" s="8">
        <v>70</v>
      </c>
      <c r="D84" s="9">
        <f t="shared" si="3"/>
        <v>0.11093502377179081</v>
      </c>
      <c r="E84" s="8"/>
      <c r="F84" s="9"/>
      <c r="G84" s="8"/>
      <c r="H84" s="9"/>
    </row>
    <row r="85" spans="1:8" x14ac:dyDescent="0.25">
      <c r="A85" s="8" t="s">
        <v>96</v>
      </c>
      <c r="B85" s="8">
        <v>316</v>
      </c>
      <c r="C85" s="8">
        <v>50</v>
      </c>
      <c r="D85" s="9">
        <f t="shared" si="3"/>
        <v>0.15822784810126583</v>
      </c>
      <c r="E85" s="8">
        <v>56</v>
      </c>
      <c r="F85" s="9">
        <f t="shared" si="4"/>
        <v>0.17721518987341772</v>
      </c>
      <c r="G85" s="8">
        <v>4</v>
      </c>
      <c r="H85" s="9">
        <f t="shared" si="5"/>
        <v>7.1428571428571425E-2</v>
      </c>
    </row>
    <row r="86" spans="1:8" x14ac:dyDescent="0.25">
      <c r="A86" s="8" t="s">
        <v>99</v>
      </c>
      <c r="B86" s="8">
        <v>3838</v>
      </c>
      <c r="C86" s="8">
        <v>200</v>
      </c>
      <c r="D86" s="9">
        <f t="shared" si="3"/>
        <v>5.2110474205315269E-2</v>
      </c>
      <c r="E86" s="8">
        <v>891</v>
      </c>
      <c r="F86" s="9">
        <f t="shared" si="4"/>
        <v>0.23215216258467952</v>
      </c>
      <c r="G86" s="8">
        <v>104</v>
      </c>
      <c r="H86" s="9">
        <f t="shared" si="5"/>
        <v>0.11672278338945005</v>
      </c>
    </row>
    <row r="87" spans="1:8" x14ac:dyDescent="0.25">
      <c r="A87" s="8" t="s">
        <v>34</v>
      </c>
      <c r="B87" s="8">
        <v>1974</v>
      </c>
      <c r="C87" s="8">
        <v>95</v>
      </c>
      <c r="D87" s="9">
        <f t="shared" si="3"/>
        <v>4.8125633232016213E-2</v>
      </c>
      <c r="E87" s="8">
        <v>205</v>
      </c>
      <c r="F87" s="9">
        <f t="shared" si="4"/>
        <v>0.1038500506585613</v>
      </c>
      <c r="G87" s="8">
        <v>11</v>
      </c>
      <c r="H87" s="9">
        <f t="shared" si="5"/>
        <v>5.3658536585365853E-2</v>
      </c>
    </row>
    <row r="88" spans="1:8" x14ac:dyDescent="0.25">
      <c r="A88" s="8" t="s">
        <v>174</v>
      </c>
      <c r="B88" s="8">
        <v>885</v>
      </c>
      <c r="C88" s="8"/>
      <c r="D88" s="9"/>
      <c r="E88" s="8">
        <v>278</v>
      </c>
      <c r="F88" s="9">
        <f t="shared" si="4"/>
        <v>0.31412429378531076</v>
      </c>
      <c r="G88" s="8">
        <v>24</v>
      </c>
      <c r="H88" s="9">
        <f t="shared" si="5"/>
        <v>8.6330935251798566E-2</v>
      </c>
    </row>
    <row r="89" spans="1:8" x14ac:dyDescent="0.25">
      <c r="A89" s="8" t="s">
        <v>166</v>
      </c>
      <c r="B89" s="8">
        <v>344</v>
      </c>
      <c r="C89" s="8">
        <v>63</v>
      </c>
      <c r="D89" s="9">
        <f t="shared" si="3"/>
        <v>0.18313953488372092</v>
      </c>
      <c r="E89" s="8"/>
      <c r="F89" s="9"/>
      <c r="G89" s="8"/>
      <c r="H89" s="9"/>
    </row>
    <row r="90" spans="1:8" x14ac:dyDescent="0.25">
      <c r="A90" s="8" t="s">
        <v>8</v>
      </c>
      <c r="B90" s="8">
        <v>121</v>
      </c>
      <c r="C90" s="8">
        <v>43</v>
      </c>
      <c r="D90" s="9">
        <f t="shared" si="3"/>
        <v>0.35537190082644626</v>
      </c>
      <c r="E90" s="8"/>
      <c r="F90" s="9"/>
      <c r="G90" s="8"/>
      <c r="H90" s="9"/>
    </row>
    <row r="91" spans="1:8" x14ac:dyDescent="0.25">
      <c r="A91" s="8" t="s">
        <v>9</v>
      </c>
      <c r="B91" s="8">
        <v>700</v>
      </c>
      <c r="C91" s="8"/>
      <c r="D91" s="9"/>
      <c r="E91" s="8">
        <v>155</v>
      </c>
      <c r="F91" s="9">
        <f t="shared" si="4"/>
        <v>0.22142857142857142</v>
      </c>
      <c r="G91" s="8">
        <v>14</v>
      </c>
      <c r="H91" s="9">
        <f t="shared" si="5"/>
        <v>9.0322580645161285E-2</v>
      </c>
    </row>
    <row r="92" spans="1:8" x14ac:dyDescent="0.25">
      <c r="A92" s="8" t="s">
        <v>92</v>
      </c>
      <c r="B92" s="8">
        <v>72</v>
      </c>
      <c r="C92" s="8">
        <v>20</v>
      </c>
      <c r="D92" s="9">
        <f t="shared" si="3"/>
        <v>0.27777777777777779</v>
      </c>
      <c r="E92" s="8"/>
      <c r="F92" s="9"/>
      <c r="G92" s="8"/>
      <c r="H92" s="9"/>
    </row>
    <row r="93" spans="1:8" x14ac:dyDescent="0.25">
      <c r="A93" s="8" t="s">
        <v>211</v>
      </c>
      <c r="B93" s="10">
        <v>1015</v>
      </c>
      <c r="C93" s="8">
        <v>111</v>
      </c>
      <c r="D93" s="9">
        <f t="shared" si="3"/>
        <v>0.10935960591133005</v>
      </c>
      <c r="E93" s="8">
        <v>327</v>
      </c>
      <c r="F93" s="9">
        <f t="shared" si="4"/>
        <v>0.32216748768472908</v>
      </c>
      <c r="G93" s="8">
        <v>35</v>
      </c>
      <c r="H93" s="9">
        <f t="shared" si="5"/>
        <v>0.10703363914373089</v>
      </c>
    </row>
    <row r="94" spans="1:8" x14ac:dyDescent="0.25">
      <c r="A94" s="8" t="s">
        <v>41</v>
      </c>
      <c r="B94" s="8">
        <v>1276</v>
      </c>
      <c r="C94" s="8">
        <v>131</v>
      </c>
      <c r="D94" s="9">
        <f t="shared" si="3"/>
        <v>0.10266457680250783</v>
      </c>
      <c r="E94" s="8"/>
      <c r="F94" s="9"/>
      <c r="G94" s="8"/>
      <c r="H94" s="9"/>
    </row>
    <row r="95" spans="1:8" x14ac:dyDescent="0.25">
      <c r="A95" s="8" t="s">
        <v>76</v>
      </c>
      <c r="B95" s="8">
        <v>563</v>
      </c>
      <c r="C95" s="8">
        <v>143</v>
      </c>
      <c r="D95" s="9">
        <f t="shared" si="3"/>
        <v>0.25399644760213141</v>
      </c>
      <c r="E95" s="8">
        <v>138</v>
      </c>
      <c r="F95" s="9">
        <f t="shared" si="4"/>
        <v>0.24511545293072823</v>
      </c>
      <c r="G95" s="8">
        <v>3</v>
      </c>
      <c r="H95" s="9">
        <f t="shared" si="5"/>
        <v>2.1739130434782608E-2</v>
      </c>
    </row>
    <row r="96" spans="1:8" x14ac:dyDescent="0.25">
      <c r="A96" s="8" t="s">
        <v>89</v>
      </c>
      <c r="B96" s="8">
        <v>968</v>
      </c>
      <c r="C96" s="8">
        <v>35</v>
      </c>
      <c r="D96" s="9">
        <f t="shared" si="3"/>
        <v>3.6157024793388427E-2</v>
      </c>
      <c r="E96" s="8">
        <v>187</v>
      </c>
      <c r="F96" s="9">
        <f t="shared" si="4"/>
        <v>0.19318181818181818</v>
      </c>
      <c r="G96" s="8">
        <v>5</v>
      </c>
      <c r="H96" s="9">
        <f t="shared" si="5"/>
        <v>2.6737967914438502E-2</v>
      </c>
    </row>
    <row r="97" spans="1:8" x14ac:dyDescent="0.25">
      <c r="A97" s="8" t="s">
        <v>116</v>
      </c>
      <c r="B97" s="10">
        <v>3148</v>
      </c>
      <c r="C97" s="8">
        <v>90</v>
      </c>
      <c r="D97" s="9">
        <f t="shared" si="3"/>
        <v>2.8589580686149935E-2</v>
      </c>
      <c r="E97" s="8">
        <v>322</v>
      </c>
      <c r="F97" s="9">
        <f t="shared" si="4"/>
        <v>0.102287166454892</v>
      </c>
      <c r="G97" s="8">
        <v>13</v>
      </c>
      <c r="H97" s="9">
        <f t="shared" si="5"/>
        <v>4.0372670807453416E-2</v>
      </c>
    </row>
    <row r="98" spans="1:8" x14ac:dyDescent="0.25">
      <c r="A98" s="8" t="s">
        <v>210</v>
      </c>
      <c r="B98" s="8">
        <v>137</v>
      </c>
      <c r="C98" s="8">
        <v>34</v>
      </c>
      <c r="D98" s="9">
        <f t="shared" si="3"/>
        <v>0.24817518248175183</v>
      </c>
      <c r="E98" s="8"/>
      <c r="F98" s="9"/>
      <c r="G98" s="8"/>
      <c r="H98" s="9"/>
    </row>
    <row r="99" spans="1:8" x14ac:dyDescent="0.25">
      <c r="A99" s="8" t="s">
        <v>134</v>
      </c>
      <c r="B99" s="8">
        <v>3519</v>
      </c>
      <c r="C99" s="8"/>
      <c r="D99" s="9"/>
      <c r="E99" s="8">
        <v>321</v>
      </c>
      <c r="F99" s="9">
        <f t="shared" si="4"/>
        <v>9.1219096334185845E-2</v>
      </c>
      <c r="G99" s="8">
        <v>49</v>
      </c>
      <c r="H99" s="9">
        <f t="shared" si="5"/>
        <v>0.15264797507788161</v>
      </c>
    </row>
    <row r="100" spans="1:8" x14ac:dyDescent="0.25">
      <c r="A100" s="8" t="s">
        <v>100</v>
      </c>
      <c r="B100" s="8">
        <v>689</v>
      </c>
      <c r="C100" s="8"/>
      <c r="D100" s="9"/>
      <c r="E100" s="8">
        <v>163</v>
      </c>
      <c r="F100" s="9">
        <f t="shared" si="4"/>
        <v>0.23657474600870829</v>
      </c>
      <c r="G100" s="8">
        <v>14</v>
      </c>
      <c r="H100" s="9">
        <f t="shared" si="5"/>
        <v>8.5889570552147243E-2</v>
      </c>
    </row>
    <row r="101" spans="1:8" x14ac:dyDescent="0.25">
      <c r="A101" s="8" t="s">
        <v>15</v>
      </c>
      <c r="B101" s="8">
        <v>1108</v>
      </c>
      <c r="C101" s="8">
        <v>130</v>
      </c>
      <c r="D101" s="9">
        <f t="shared" si="3"/>
        <v>0.11732851985559567</v>
      </c>
      <c r="E101" s="8">
        <v>251</v>
      </c>
      <c r="F101" s="9">
        <f t="shared" si="4"/>
        <v>0.22653429602888087</v>
      </c>
      <c r="G101" s="8">
        <v>17</v>
      </c>
      <c r="H101" s="9">
        <f t="shared" si="5"/>
        <v>6.7729083665338641E-2</v>
      </c>
    </row>
    <row r="102" spans="1:8" x14ac:dyDescent="0.25">
      <c r="A102" s="8" t="s">
        <v>21</v>
      </c>
      <c r="B102" s="8">
        <v>807</v>
      </c>
      <c r="C102" s="8"/>
      <c r="D102" s="9"/>
      <c r="E102" s="8">
        <v>136</v>
      </c>
      <c r="F102" s="9">
        <f t="shared" si="4"/>
        <v>0.16852540272614622</v>
      </c>
      <c r="G102" s="8">
        <v>6</v>
      </c>
      <c r="H102" s="9">
        <f t="shared" si="5"/>
        <v>4.4117647058823532E-2</v>
      </c>
    </row>
    <row r="103" spans="1:8" x14ac:dyDescent="0.25">
      <c r="A103" s="8" t="s">
        <v>107</v>
      </c>
      <c r="B103" s="8">
        <v>4609</v>
      </c>
      <c r="C103" s="8">
        <v>280</v>
      </c>
      <c r="D103" s="9">
        <f t="shared" si="3"/>
        <v>6.0750705142113254E-2</v>
      </c>
      <c r="E103" s="8">
        <v>1778</v>
      </c>
      <c r="F103" s="9">
        <f t="shared" si="4"/>
        <v>0.38576697765241919</v>
      </c>
      <c r="G103" s="8">
        <v>339</v>
      </c>
      <c r="H103" s="9">
        <f t="shared" si="5"/>
        <v>0.1906636670416198</v>
      </c>
    </row>
    <row r="104" spans="1:8" x14ac:dyDescent="0.25">
      <c r="A104" s="8" t="s">
        <v>57</v>
      </c>
      <c r="B104" s="8">
        <v>1470</v>
      </c>
      <c r="C104" s="8">
        <v>200</v>
      </c>
      <c r="D104" s="9">
        <f t="shared" si="3"/>
        <v>0.1360544217687075</v>
      </c>
      <c r="E104" s="8">
        <v>336</v>
      </c>
      <c r="F104" s="9">
        <f t="shared" si="4"/>
        <v>0.22857142857142856</v>
      </c>
      <c r="G104" s="8">
        <v>45</v>
      </c>
      <c r="H104" s="9">
        <f t="shared" si="5"/>
        <v>0.13392857142857142</v>
      </c>
    </row>
    <row r="105" spans="1:8" x14ac:dyDescent="0.25">
      <c r="A105" s="8" t="s">
        <v>25</v>
      </c>
      <c r="B105" s="8">
        <v>620</v>
      </c>
      <c r="C105" s="8"/>
      <c r="D105" s="9"/>
      <c r="E105" s="8">
        <v>312</v>
      </c>
      <c r="F105" s="9">
        <f t="shared" si="4"/>
        <v>0.50322580645161286</v>
      </c>
      <c r="G105" s="8">
        <v>38</v>
      </c>
      <c r="H105" s="9">
        <f t="shared" si="5"/>
        <v>0.12179487179487179</v>
      </c>
    </row>
    <row r="106" spans="1:8" x14ac:dyDescent="0.25">
      <c r="A106" s="8" t="s">
        <v>126</v>
      </c>
      <c r="B106" s="10">
        <v>7238</v>
      </c>
      <c r="C106" s="8"/>
      <c r="D106" s="9"/>
      <c r="E106" s="8">
        <v>1926</v>
      </c>
      <c r="F106" s="9">
        <f t="shared" si="4"/>
        <v>0.26609560652113845</v>
      </c>
      <c r="G106" s="8">
        <v>238</v>
      </c>
      <c r="H106" s="9">
        <f t="shared" si="5"/>
        <v>0.12357217030114226</v>
      </c>
    </row>
    <row r="107" spans="1:8" x14ac:dyDescent="0.25">
      <c r="A107" s="8" t="s">
        <v>83</v>
      </c>
      <c r="B107" s="8">
        <v>1341</v>
      </c>
      <c r="C107" s="8"/>
      <c r="D107" s="9"/>
      <c r="E107" s="8">
        <v>411</v>
      </c>
      <c r="F107" s="9">
        <f t="shared" si="4"/>
        <v>0.30648769574944074</v>
      </c>
      <c r="G107" s="8">
        <v>7</v>
      </c>
      <c r="H107" s="9">
        <f t="shared" si="5"/>
        <v>1.7031630170316302E-2</v>
      </c>
    </row>
    <row r="108" spans="1:8" x14ac:dyDescent="0.25">
      <c r="A108" s="8" t="s">
        <v>87</v>
      </c>
      <c r="B108" s="8">
        <v>817</v>
      </c>
      <c r="C108" s="8">
        <v>45</v>
      </c>
      <c r="D108" s="9">
        <f t="shared" si="3"/>
        <v>5.5079559363525092E-2</v>
      </c>
      <c r="E108" s="8"/>
      <c r="F108" s="9"/>
      <c r="G108" s="8"/>
      <c r="H108" s="9"/>
    </row>
    <row r="109" spans="1:8" x14ac:dyDescent="0.25">
      <c r="A109" s="8" t="s">
        <v>2</v>
      </c>
      <c r="B109" s="8">
        <v>6302</v>
      </c>
      <c r="C109" s="8"/>
      <c r="D109" s="9"/>
      <c r="E109" s="8">
        <v>2448</v>
      </c>
      <c r="F109" s="9">
        <f t="shared" si="4"/>
        <v>0.38844811171056809</v>
      </c>
      <c r="G109" s="8">
        <v>458</v>
      </c>
      <c r="H109" s="9">
        <f t="shared" si="5"/>
        <v>0.18709150326797386</v>
      </c>
    </row>
    <row r="110" spans="1:8" x14ac:dyDescent="0.25">
      <c r="A110" s="8" t="s">
        <v>190</v>
      </c>
      <c r="B110" s="10">
        <v>1444</v>
      </c>
      <c r="C110" s="8">
        <v>50</v>
      </c>
      <c r="D110" s="9">
        <f t="shared" si="3"/>
        <v>3.4626038781163437E-2</v>
      </c>
      <c r="E110" s="8">
        <v>338</v>
      </c>
      <c r="F110" s="9">
        <f t="shared" si="4"/>
        <v>0.23407202216066483</v>
      </c>
      <c r="G110" s="8">
        <v>43</v>
      </c>
      <c r="H110" s="9">
        <f t="shared" si="5"/>
        <v>0.12721893491124261</v>
      </c>
    </row>
    <row r="111" spans="1:8" x14ac:dyDescent="0.25">
      <c r="A111" s="8" t="s">
        <v>191</v>
      </c>
      <c r="B111" s="8">
        <v>3363</v>
      </c>
      <c r="C111" s="8">
        <v>187</v>
      </c>
      <c r="D111" s="9">
        <f t="shared" si="3"/>
        <v>5.5605114481118052E-2</v>
      </c>
      <c r="E111" s="8">
        <v>789</v>
      </c>
      <c r="F111" s="9">
        <f t="shared" si="4"/>
        <v>0.23461195361284568</v>
      </c>
      <c r="G111" s="8">
        <v>129</v>
      </c>
      <c r="H111" s="9">
        <f t="shared" si="5"/>
        <v>0.1634980988593156</v>
      </c>
    </row>
    <row r="112" spans="1:8" x14ac:dyDescent="0.25">
      <c r="A112" s="8" t="s">
        <v>81</v>
      </c>
      <c r="B112" s="8">
        <v>936</v>
      </c>
      <c r="C112" s="8"/>
      <c r="D112" s="9"/>
      <c r="E112" s="8">
        <v>421</v>
      </c>
      <c r="F112" s="9">
        <f t="shared" si="4"/>
        <v>0.4497863247863248</v>
      </c>
      <c r="G112" s="8">
        <v>43</v>
      </c>
      <c r="H112" s="9">
        <f t="shared" si="5"/>
        <v>0.10213776722090261</v>
      </c>
    </row>
    <row r="113" spans="1:8" x14ac:dyDescent="0.25">
      <c r="A113" s="8" t="s">
        <v>175</v>
      </c>
      <c r="B113" s="8">
        <v>131</v>
      </c>
      <c r="C113" s="8">
        <v>16</v>
      </c>
      <c r="D113" s="9">
        <f t="shared" si="3"/>
        <v>0.12213740458015267</v>
      </c>
      <c r="E113" s="8">
        <v>32</v>
      </c>
      <c r="F113" s="9">
        <f t="shared" si="4"/>
        <v>0.24427480916030533</v>
      </c>
      <c r="G113" s="8">
        <v>1</v>
      </c>
      <c r="H113" s="9">
        <f t="shared" si="5"/>
        <v>3.125E-2</v>
      </c>
    </row>
    <row r="114" spans="1:8" x14ac:dyDescent="0.25">
      <c r="A114" s="8" t="s">
        <v>54</v>
      </c>
      <c r="B114" s="8">
        <v>1210</v>
      </c>
      <c r="C114" s="8"/>
      <c r="D114" s="9"/>
      <c r="E114" s="8">
        <v>377</v>
      </c>
      <c r="F114" s="9">
        <f t="shared" si="4"/>
        <v>0.31157024793388427</v>
      </c>
      <c r="G114" s="8">
        <v>23</v>
      </c>
      <c r="H114" s="9">
        <f t="shared" si="5"/>
        <v>6.1007957559681698E-2</v>
      </c>
    </row>
    <row r="115" spans="1:8" x14ac:dyDescent="0.25">
      <c r="A115" s="8" t="s">
        <v>127</v>
      </c>
      <c r="B115" s="8">
        <v>420</v>
      </c>
      <c r="C115" s="8">
        <v>83</v>
      </c>
      <c r="D115" s="9">
        <f t="shared" si="3"/>
        <v>0.19761904761904761</v>
      </c>
      <c r="E115" s="8"/>
      <c r="F115" s="9"/>
      <c r="G115" s="8"/>
      <c r="H115" s="9"/>
    </row>
    <row r="116" spans="1:8" x14ac:dyDescent="0.25">
      <c r="A116" s="8" t="s">
        <v>189</v>
      </c>
      <c r="B116" s="8">
        <v>1536</v>
      </c>
      <c r="C116" s="8"/>
      <c r="D116" s="9"/>
      <c r="E116" s="8">
        <v>114</v>
      </c>
      <c r="F116" s="9">
        <f t="shared" si="4"/>
        <v>7.421875E-2</v>
      </c>
      <c r="G116" s="8">
        <v>3</v>
      </c>
      <c r="H116" s="9">
        <f t="shared" si="5"/>
        <v>2.6315789473684209E-2</v>
      </c>
    </row>
    <row r="117" spans="1:8" x14ac:dyDescent="0.25">
      <c r="A117" s="8" t="s">
        <v>51</v>
      </c>
      <c r="B117" s="10">
        <v>1245</v>
      </c>
      <c r="C117" s="8"/>
      <c r="D117" s="9"/>
      <c r="E117" s="8">
        <v>453</v>
      </c>
      <c r="F117" s="9">
        <f t="shared" si="4"/>
        <v>0.363855421686747</v>
      </c>
      <c r="G117" s="8">
        <v>154</v>
      </c>
      <c r="H117" s="9">
        <f t="shared" si="5"/>
        <v>0.33995584988962474</v>
      </c>
    </row>
    <row r="118" spans="1:8" x14ac:dyDescent="0.25">
      <c r="A118" s="8" t="s">
        <v>59</v>
      </c>
      <c r="B118" s="10">
        <v>3278</v>
      </c>
      <c r="C118" s="8"/>
      <c r="D118" s="9"/>
      <c r="E118" s="8">
        <v>496</v>
      </c>
      <c r="F118" s="9">
        <f t="shared" si="4"/>
        <v>0.1513117754728493</v>
      </c>
      <c r="G118" s="8">
        <v>49</v>
      </c>
      <c r="H118" s="9">
        <f t="shared" si="5"/>
        <v>9.8790322580645157E-2</v>
      </c>
    </row>
    <row r="119" spans="1:8" x14ac:dyDescent="0.25">
      <c r="A119" s="8" t="s">
        <v>104</v>
      </c>
      <c r="B119" s="8">
        <v>1233</v>
      </c>
      <c r="C119" s="8">
        <v>84</v>
      </c>
      <c r="D119" s="9">
        <f t="shared" si="3"/>
        <v>6.8126520681265207E-2</v>
      </c>
      <c r="E119" s="8"/>
      <c r="F119" s="9"/>
      <c r="G119" s="8"/>
      <c r="H119" s="9"/>
    </row>
    <row r="120" spans="1:8" x14ac:dyDescent="0.25">
      <c r="A120" s="8" t="s">
        <v>84</v>
      </c>
      <c r="B120" s="8">
        <v>768</v>
      </c>
      <c r="C120" s="8"/>
      <c r="D120" s="9"/>
      <c r="E120" s="8">
        <v>246</v>
      </c>
      <c r="F120" s="9">
        <f t="shared" si="4"/>
        <v>0.3203125</v>
      </c>
      <c r="G120" s="8">
        <v>48</v>
      </c>
      <c r="H120" s="9">
        <f t="shared" si="5"/>
        <v>0.1951219512195122</v>
      </c>
    </row>
    <row r="121" spans="1:8" x14ac:dyDescent="0.25">
      <c r="A121" s="8" t="s">
        <v>152</v>
      </c>
      <c r="B121" s="8">
        <v>3145</v>
      </c>
      <c r="C121" s="8">
        <v>100</v>
      </c>
      <c r="D121" s="9">
        <f t="shared" si="3"/>
        <v>3.1796502384737677E-2</v>
      </c>
      <c r="E121" s="8">
        <v>743</v>
      </c>
      <c r="F121" s="9">
        <f t="shared" si="4"/>
        <v>0.23624801271860096</v>
      </c>
      <c r="G121" s="8">
        <v>132</v>
      </c>
      <c r="H121" s="9">
        <f t="shared" si="5"/>
        <v>0.17765814266487215</v>
      </c>
    </row>
    <row r="122" spans="1:8" x14ac:dyDescent="0.25">
      <c r="A122" s="8" t="s">
        <v>75</v>
      </c>
      <c r="B122" s="8">
        <v>110</v>
      </c>
      <c r="C122" s="8"/>
      <c r="D122" s="9"/>
      <c r="E122" s="8">
        <v>51</v>
      </c>
      <c r="F122" s="9">
        <f t="shared" si="4"/>
        <v>0.46363636363636362</v>
      </c>
      <c r="G122" s="8">
        <v>6</v>
      </c>
      <c r="H122" s="9">
        <f t="shared" si="5"/>
        <v>0.11764705882352941</v>
      </c>
    </row>
    <row r="123" spans="1:8" x14ac:dyDescent="0.25">
      <c r="A123" s="8" t="s">
        <v>135</v>
      </c>
      <c r="B123" s="8">
        <v>2870</v>
      </c>
      <c r="C123" s="8"/>
      <c r="D123" s="9"/>
      <c r="E123" s="8">
        <v>800</v>
      </c>
      <c r="F123" s="9">
        <f t="shared" si="4"/>
        <v>0.27874564459930312</v>
      </c>
      <c r="G123" s="8"/>
      <c r="H123" s="9"/>
    </row>
    <row r="124" spans="1:8" x14ac:dyDescent="0.25">
      <c r="A124" s="8" t="s">
        <v>172</v>
      </c>
      <c r="B124" s="8">
        <v>764</v>
      </c>
      <c r="C124" s="8">
        <v>116</v>
      </c>
      <c r="D124" s="9">
        <f t="shared" si="3"/>
        <v>0.15183246073298429</v>
      </c>
      <c r="E124" s="8"/>
      <c r="F124" s="9"/>
      <c r="G124" s="8"/>
      <c r="H124" s="9"/>
    </row>
    <row r="125" spans="1:8" x14ac:dyDescent="0.25">
      <c r="A125" s="8" t="s">
        <v>68</v>
      </c>
      <c r="B125" s="8">
        <v>797</v>
      </c>
      <c r="C125" s="8">
        <v>104</v>
      </c>
      <c r="D125" s="9">
        <f t="shared" si="3"/>
        <v>0.13048933500627352</v>
      </c>
      <c r="E125" s="8">
        <v>206</v>
      </c>
      <c r="F125" s="9">
        <f t="shared" si="4"/>
        <v>0.25846925972396489</v>
      </c>
      <c r="G125" s="8">
        <v>16</v>
      </c>
      <c r="H125" s="9">
        <f t="shared" si="5"/>
        <v>7.7669902912621352E-2</v>
      </c>
    </row>
    <row r="126" spans="1:8" x14ac:dyDescent="0.25">
      <c r="A126" s="8" t="s">
        <v>106</v>
      </c>
      <c r="B126" s="8">
        <v>438</v>
      </c>
      <c r="C126" s="8"/>
      <c r="D126" s="9"/>
      <c r="E126" s="8">
        <v>101</v>
      </c>
      <c r="F126" s="9">
        <f t="shared" si="4"/>
        <v>0.23059360730593606</v>
      </c>
      <c r="G126" s="8">
        <v>7</v>
      </c>
      <c r="H126" s="9">
        <f t="shared" si="5"/>
        <v>6.9306930693069313E-2</v>
      </c>
    </row>
    <row r="127" spans="1:8" x14ac:dyDescent="0.25">
      <c r="A127" s="8" t="s">
        <v>145</v>
      </c>
      <c r="B127" s="10">
        <v>1003</v>
      </c>
      <c r="C127" s="8"/>
      <c r="D127" s="9"/>
      <c r="E127" s="8">
        <v>302</v>
      </c>
      <c r="F127" s="9">
        <f t="shared" si="4"/>
        <v>0.30109670987038883</v>
      </c>
      <c r="G127" s="8">
        <v>10</v>
      </c>
      <c r="H127" s="9">
        <f t="shared" si="5"/>
        <v>3.3112582781456956E-2</v>
      </c>
    </row>
    <row r="128" spans="1:8" x14ac:dyDescent="0.25">
      <c r="A128" s="8" t="s">
        <v>94</v>
      </c>
      <c r="B128" s="8">
        <v>657</v>
      </c>
      <c r="C128" s="8">
        <v>121</v>
      </c>
      <c r="D128" s="9">
        <f t="shared" si="3"/>
        <v>0.18417047184170471</v>
      </c>
      <c r="E128" s="8"/>
      <c r="F128" s="9"/>
      <c r="G128" s="8"/>
      <c r="H128" s="9"/>
    </row>
    <row r="129" spans="1:8" x14ac:dyDescent="0.25">
      <c r="A129" s="8" t="s">
        <v>13</v>
      </c>
      <c r="B129" s="8">
        <v>300</v>
      </c>
      <c r="C129" s="8">
        <v>71</v>
      </c>
      <c r="D129" s="9">
        <f t="shared" si="3"/>
        <v>0.23666666666666666</v>
      </c>
      <c r="E129" s="8"/>
      <c r="F129" s="9"/>
      <c r="G129" s="8"/>
      <c r="H129" s="9"/>
    </row>
    <row r="130" spans="1:8" x14ac:dyDescent="0.25">
      <c r="A130" s="8" t="s">
        <v>118</v>
      </c>
      <c r="B130" s="8">
        <v>354</v>
      </c>
      <c r="C130" s="8">
        <v>40</v>
      </c>
      <c r="D130" s="9">
        <f t="shared" si="3"/>
        <v>0.11299435028248588</v>
      </c>
      <c r="E130" s="8"/>
      <c r="F130" s="9"/>
      <c r="G130" s="8"/>
      <c r="H130" s="9"/>
    </row>
    <row r="131" spans="1:8" x14ac:dyDescent="0.25">
      <c r="A131" s="8" t="s">
        <v>192</v>
      </c>
      <c r="B131" s="8">
        <v>2146</v>
      </c>
      <c r="C131" s="8">
        <v>105</v>
      </c>
      <c r="D131" s="9">
        <f t="shared" ref="D131:D194" si="6">SUM(C131/B131)</f>
        <v>4.8928238583410999E-2</v>
      </c>
      <c r="E131" s="8">
        <v>643</v>
      </c>
      <c r="F131" s="9">
        <f t="shared" si="4"/>
        <v>0.2996272134203169</v>
      </c>
      <c r="G131" s="8">
        <v>26</v>
      </c>
      <c r="H131" s="9">
        <f t="shared" si="5"/>
        <v>4.0435458786936239E-2</v>
      </c>
    </row>
    <row r="132" spans="1:8" x14ac:dyDescent="0.25">
      <c r="A132" s="8" t="s">
        <v>193</v>
      </c>
      <c r="B132" s="8">
        <v>895</v>
      </c>
      <c r="C132" s="8"/>
      <c r="D132" s="9"/>
      <c r="E132" s="8">
        <v>201</v>
      </c>
      <c r="F132" s="9">
        <f t="shared" ref="F132:F195" si="7">SUM(E132/B132)</f>
        <v>0.22458100558659219</v>
      </c>
      <c r="G132" s="8">
        <v>18</v>
      </c>
      <c r="H132" s="9">
        <f t="shared" ref="H132:H195" si="8">SUM(G132/E132)</f>
        <v>8.9552238805970144E-2</v>
      </c>
    </row>
    <row r="133" spans="1:8" x14ac:dyDescent="0.25">
      <c r="A133" s="8" t="s">
        <v>129</v>
      </c>
      <c r="B133" s="8">
        <v>486</v>
      </c>
      <c r="C133" s="8">
        <v>50</v>
      </c>
      <c r="D133" s="9">
        <f t="shared" si="6"/>
        <v>0.102880658436214</v>
      </c>
      <c r="E133" s="8">
        <v>234</v>
      </c>
      <c r="F133" s="9">
        <f t="shared" si="7"/>
        <v>0.48148148148148145</v>
      </c>
      <c r="G133" s="8">
        <v>39</v>
      </c>
      <c r="H133" s="9">
        <f t="shared" si="8"/>
        <v>0.16666666666666666</v>
      </c>
    </row>
    <row r="134" spans="1:8" x14ac:dyDescent="0.25">
      <c r="A134" s="8" t="s">
        <v>28</v>
      </c>
      <c r="B134" s="8">
        <v>743</v>
      </c>
      <c r="C134" s="8">
        <v>189</v>
      </c>
      <c r="D134" s="9">
        <f t="shared" si="6"/>
        <v>0.25437415881561237</v>
      </c>
      <c r="E134" s="8"/>
      <c r="F134" s="9"/>
      <c r="G134" s="8"/>
      <c r="H134" s="9"/>
    </row>
    <row r="135" spans="1:8" x14ac:dyDescent="0.25">
      <c r="A135" s="8" t="s">
        <v>194</v>
      </c>
      <c r="B135" s="8">
        <v>2131</v>
      </c>
      <c r="C135" s="8"/>
      <c r="D135" s="9"/>
      <c r="E135" s="8">
        <v>553</v>
      </c>
      <c r="F135" s="9">
        <f t="shared" si="7"/>
        <v>0.25950258094791179</v>
      </c>
      <c r="G135" s="8">
        <v>35</v>
      </c>
      <c r="H135" s="9">
        <f t="shared" si="8"/>
        <v>6.3291139240506333E-2</v>
      </c>
    </row>
    <row r="136" spans="1:8" x14ac:dyDescent="0.25">
      <c r="A136" s="8" t="s">
        <v>109</v>
      </c>
      <c r="B136" s="8">
        <v>1081</v>
      </c>
      <c r="C136" s="8">
        <v>119</v>
      </c>
      <c r="D136" s="9">
        <f t="shared" si="6"/>
        <v>0.11008325624421832</v>
      </c>
      <c r="E136" s="8">
        <v>251</v>
      </c>
      <c r="F136" s="9">
        <f t="shared" si="7"/>
        <v>0.23219241443108232</v>
      </c>
      <c r="G136" s="8">
        <v>18</v>
      </c>
      <c r="H136" s="9">
        <f t="shared" si="8"/>
        <v>7.1713147410358571E-2</v>
      </c>
    </row>
    <row r="137" spans="1:8" x14ac:dyDescent="0.25">
      <c r="A137" s="8" t="s">
        <v>195</v>
      </c>
      <c r="B137" s="8">
        <v>1679</v>
      </c>
      <c r="C137" s="8">
        <v>100</v>
      </c>
      <c r="D137" s="9">
        <f t="shared" si="6"/>
        <v>5.9559261465157831E-2</v>
      </c>
      <c r="E137" s="8">
        <v>221</v>
      </c>
      <c r="F137" s="9">
        <f t="shared" si="7"/>
        <v>0.13162596783799882</v>
      </c>
      <c r="G137" s="8">
        <v>10</v>
      </c>
      <c r="H137" s="9">
        <f t="shared" si="8"/>
        <v>4.5248868778280542E-2</v>
      </c>
    </row>
    <row r="138" spans="1:8" x14ac:dyDescent="0.25">
      <c r="A138" s="8" t="s">
        <v>58</v>
      </c>
      <c r="B138" s="8">
        <v>2940</v>
      </c>
      <c r="C138" s="8"/>
      <c r="D138" s="9"/>
      <c r="E138" s="8">
        <v>478</v>
      </c>
      <c r="F138" s="9">
        <f t="shared" si="7"/>
        <v>0.16258503401360544</v>
      </c>
      <c r="G138" s="8">
        <v>67</v>
      </c>
      <c r="H138" s="9">
        <f t="shared" si="8"/>
        <v>0.14016736401673641</v>
      </c>
    </row>
    <row r="139" spans="1:8" x14ac:dyDescent="0.25">
      <c r="A139" s="8" t="s">
        <v>176</v>
      </c>
      <c r="B139" s="8">
        <v>491</v>
      </c>
      <c r="C139" s="8">
        <v>100</v>
      </c>
      <c r="D139" s="9">
        <f t="shared" si="6"/>
        <v>0.20366598778004075</v>
      </c>
      <c r="E139" s="8"/>
      <c r="F139" s="9"/>
      <c r="G139" s="8"/>
      <c r="H139" s="9"/>
    </row>
    <row r="140" spans="1:8" x14ac:dyDescent="0.25">
      <c r="A140" s="8" t="s">
        <v>88</v>
      </c>
      <c r="B140" s="8">
        <v>532</v>
      </c>
      <c r="C140" s="8"/>
      <c r="D140" s="9"/>
      <c r="E140" s="8">
        <v>186</v>
      </c>
      <c r="F140" s="9">
        <f t="shared" si="7"/>
        <v>0.34962406015037595</v>
      </c>
      <c r="G140" s="8">
        <v>16</v>
      </c>
      <c r="H140" s="9">
        <f t="shared" si="8"/>
        <v>8.6021505376344093E-2</v>
      </c>
    </row>
    <row r="141" spans="1:8" x14ac:dyDescent="0.25">
      <c r="A141" s="8" t="s">
        <v>105</v>
      </c>
      <c r="B141" s="8">
        <v>1504</v>
      </c>
      <c r="C141" s="8"/>
      <c r="D141" s="9"/>
      <c r="E141" s="8">
        <v>421</v>
      </c>
      <c r="F141" s="9">
        <f t="shared" si="7"/>
        <v>0.27992021276595747</v>
      </c>
      <c r="G141" s="8">
        <v>89</v>
      </c>
      <c r="H141" s="9">
        <f t="shared" si="8"/>
        <v>0.21140142517814728</v>
      </c>
    </row>
    <row r="142" spans="1:8" x14ac:dyDescent="0.25">
      <c r="A142" s="8" t="s">
        <v>122</v>
      </c>
      <c r="B142" s="8">
        <v>2956</v>
      </c>
      <c r="C142" s="8">
        <v>168</v>
      </c>
      <c r="D142" s="9">
        <f t="shared" si="6"/>
        <v>5.6833558863328824E-2</v>
      </c>
      <c r="E142" s="8">
        <v>872</v>
      </c>
      <c r="F142" s="9">
        <f t="shared" si="7"/>
        <v>0.29499323410013534</v>
      </c>
      <c r="G142" s="8">
        <v>176</v>
      </c>
      <c r="H142" s="9">
        <f t="shared" si="8"/>
        <v>0.20183486238532111</v>
      </c>
    </row>
    <row r="143" spans="1:8" x14ac:dyDescent="0.25">
      <c r="A143" s="8" t="s">
        <v>39</v>
      </c>
      <c r="B143" s="8">
        <v>456</v>
      </c>
      <c r="C143" s="8"/>
      <c r="D143" s="9"/>
      <c r="E143" s="8">
        <v>135</v>
      </c>
      <c r="F143" s="9">
        <f t="shared" si="7"/>
        <v>0.29605263157894735</v>
      </c>
      <c r="G143" s="8">
        <v>3</v>
      </c>
      <c r="H143" s="9">
        <f t="shared" si="8"/>
        <v>2.2222222222222223E-2</v>
      </c>
    </row>
    <row r="144" spans="1:8" x14ac:dyDescent="0.25">
      <c r="A144" s="8" t="s">
        <v>97</v>
      </c>
      <c r="B144" s="8">
        <v>790</v>
      </c>
      <c r="C144" s="8">
        <v>101</v>
      </c>
      <c r="D144" s="9">
        <f t="shared" si="6"/>
        <v>0.12784810126582277</v>
      </c>
      <c r="E144" s="8"/>
      <c r="F144" s="9"/>
      <c r="G144" s="8"/>
      <c r="H144" s="9"/>
    </row>
    <row r="145" spans="1:8" x14ac:dyDescent="0.25">
      <c r="A145" s="8" t="s">
        <v>128</v>
      </c>
      <c r="B145" s="8">
        <v>3465</v>
      </c>
      <c r="C145" s="8">
        <v>175</v>
      </c>
      <c r="D145" s="9">
        <f t="shared" si="6"/>
        <v>5.0505050505050504E-2</v>
      </c>
      <c r="E145" s="8">
        <v>916</v>
      </c>
      <c r="F145" s="9">
        <f t="shared" si="7"/>
        <v>0.26435786435786435</v>
      </c>
      <c r="G145" s="8">
        <v>128</v>
      </c>
      <c r="H145" s="9">
        <f t="shared" si="8"/>
        <v>0.13973799126637554</v>
      </c>
    </row>
    <row r="146" spans="1:8" x14ac:dyDescent="0.25">
      <c r="A146" s="8" t="s">
        <v>208</v>
      </c>
      <c r="B146" s="8">
        <v>541</v>
      </c>
      <c r="C146" s="8">
        <v>72</v>
      </c>
      <c r="D146" s="9">
        <f t="shared" si="6"/>
        <v>0.13308687615526801</v>
      </c>
      <c r="E146" s="8">
        <v>207</v>
      </c>
      <c r="F146" s="9">
        <f t="shared" si="7"/>
        <v>0.38262476894639558</v>
      </c>
      <c r="G146" s="8">
        <v>36</v>
      </c>
      <c r="H146" s="9">
        <f t="shared" si="8"/>
        <v>0.17391304347826086</v>
      </c>
    </row>
    <row r="147" spans="1:8" x14ac:dyDescent="0.25">
      <c r="A147" s="8" t="s">
        <v>18</v>
      </c>
      <c r="B147" s="8">
        <v>2003</v>
      </c>
      <c r="C147" s="8"/>
      <c r="D147" s="9"/>
      <c r="E147" s="8">
        <v>453</v>
      </c>
      <c r="F147" s="9">
        <f t="shared" si="7"/>
        <v>0.22616075886170744</v>
      </c>
      <c r="G147" s="8">
        <v>43</v>
      </c>
      <c r="H147" s="9">
        <f t="shared" si="8"/>
        <v>9.4922737306843266E-2</v>
      </c>
    </row>
    <row r="148" spans="1:8" x14ac:dyDescent="0.25">
      <c r="A148" s="8" t="s">
        <v>209</v>
      </c>
      <c r="B148" s="8">
        <v>478</v>
      </c>
      <c r="C148" s="8"/>
      <c r="D148" s="9"/>
      <c r="E148" s="8">
        <v>191</v>
      </c>
      <c r="F148" s="9">
        <f t="shared" si="7"/>
        <v>0.39958158995815901</v>
      </c>
      <c r="G148" s="8">
        <v>40</v>
      </c>
      <c r="H148" s="9">
        <f t="shared" si="8"/>
        <v>0.20942408376963351</v>
      </c>
    </row>
    <row r="149" spans="1:8" x14ac:dyDescent="0.25">
      <c r="A149" s="8" t="s">
        <v>95</v>
      </c>
      <c r="B149" s="8">
        <v>880</v>
      </c>
      <c r="C149" s="8">
        <v>83</v>
      </c>
      <c r="D149" s="9">
        <f t="shared" si="6"/>
        <v>9.4318181818181815E-2</v>
      </c>
      <c r="E149" s="8">
        <v>229</v>
      </c>
      <c r="F149" s="9">
        <f t="shared" si="7"/>
        <v>0.26022727272727275</v>
      </c>
      <c r="G149" s="8">
        <v>21</v>
      </c>
      <c r="H149" s="9">
        <f t="shared" si="8"/>
        <v>9.1703056768558958E-2</v>
      </c>
    </row>
    <row r="150" spans="1:8" x14ac:dyDescent="0.25">
      <c r="A150" s="8" t="s">
        <v>121</v>
      </c>
      <c r="B150" s="8">
        <v>4244</v>
      </c>
      <c r="C150" s="8"/>
      <c r="D150" s="9"/>
      <c r="E150" s="8">
        <v>1150</v>
      </c>
      <c r="F150" s="9">
        <f t="shared" si="7"/>
        <v>0.27097078228086713</v>
      </c>
      <c r="G150" s="8">
        <v>201</v>
      </c>
      <c r="H150" s="9">
        <f t="shared" si="8"/>
        <v>0.17478260869565218</v>
      </c>
    </row>
    <row r="151" spans="1:8" x14ac:dyDescent="0.25">
      <c r="A151" s="8" t="s">
        <v>5</v>
      </c>
      <c r="B151" s="8">
        <v>832</v>
      </c>
      <c r="C151" s="8"/>
      <c r="D151" s="9"/>
      <c r="E151" s="8">
        <v>226</v>
      </c>
      <c r="F151" s="9">
        <f t="shared" si="7"/>
        <v>0.27163461538461536</v>
      </c>
      <c r="G151" s="8">
        <v>13</v>
      </c>
      <c r="H151" s="9">
        <f t="shared" si="8"/>
        <v>5.7522123893805309E-2</v>
      </c>
    </row>
    <row r="152" spans="1:8" x14ac:dyDescent="0.25">
      <c r="A152" s="8" t="s">
        <v>196</v>
      </c>
      <c r="B152" s="8">
        <v>295</v>
      </c>
      <c r="C152" s="8"/>
      <c r="D152" s="9"/>
      <c r="E152" s="8">
        <v>76</v>
      </c>
      <c r="F152" s="9">
        <f t="shared" si="7"/>
        <v>0.25762711864406779</v>
      </c>
      <c r="G152" s="8">
        <v>9</v>
      </c>
      <c r="H152" s="9">
        <f t="shared" si="8"/>
        <v>0.11842105263157894</v>
      </c>
    </row>
    <row r="153" spans="1:8" x14ac:dyDescent="0.25">
      <c r="A153" s="8" t="s">
        <v>197</v>
      </c>
      <c r="B153" s="8">
        <v>77</v>
      </c>
      <c r="C153" s="8"/>
      <c r="D153" s="9"/>
      <c r="E153" s="8">
        <v>29</v>
      </c>
      <c r="F153" s="9">
        <f t="shared" si="7"/>
        <v>0.37662337662337664</v>
      </c>
      <c r="G153" s="8">
        <v>4</v>
      </c>
      <c r="H153" s="9">
        <f t="shared" si="8"/>
        <v>0.13793103448275862</v>
      </c>
    </row>
    <row r="154" spans="1:8" x14ac:dyDescent="0.25">
      <c r="A154" s="8" t="s">
        <v>198</v>
      </c>
      <c r="B154" s="10">
        <v>2459</v>
      </c>
      <c r="C154" s="8">
        <v>110</v>
      </c>
      <c r="D154" s="9">
        <f t="shared" si="6"/>
        <v>4.4733631557543715E-2</v>
      </c>
      <c r="E154" s="8">
        <v>768</v>
      </c>
      <c r="F154" s="9">
        <f t="shared" si="7"/>
        <v>0.3123220821472143</v>
      </c>
      <c r="G154" s="8">
        <v>97</v>
      </c>
      <c r="H154" s="9">
        <f t="shared" si="8"/>
        <v>0.12630208333333334</v>
      </c>
    </row>
    <row r="155" spans="1:8" x14ac:dyDescent="0.25">
      <c r="A155" s="8" t="s">
        <v>199</v>
      </c>
      <c r="B155" s="10">
        <v>1014</v>
      </c>
      <c r="C155" s="8">
        <v>110</v>
      </c>
      <c r="D155" s="9">
        <f t="shared" si="6"/>
        <v>0.10848126232741617</v>
      </c>
      <c r="E155" s="8">
        <v>163</v>
      </c>
      <c r="F155" s="9">
        <f t="shared" si="7"/>
        <v>0.16074950690335305</v>
      </c>
      <c r="G155" s="8">
        <v>4</v>
      </c>
      <c r="H155" s="9">
        <f t="shared" si="8"/>
        <v>2.4539877300613498E-2</v>
      </c>
    </row>
    <row r="156" spans="1:8" x14ac:dyDescent="0.25">
      <c r="A156" s="8" t="s">
        <v>23</v>
      </c>
      <c r="B156" s="8">
        <v>5030</v>
      </c>
      <c r="C156" s="8"/>
      <c r="D156" s="9"/>
      <c r="E156" s="8">
        <v>2158</v>
      </c>
      <c r="F156" s="9">
        <f t="shared" si="7"/>
        <v>0.42902584493041751</v>
      </c>
      <c r="G156" s="8">
        <v>463</v>
      </c>
      <c r="H156" s="9">
        <f t="shared" si="8"/>
        <v>0.21455050973123263</v>
      </c>
    </row>
    <row r="157" spans="1:8" x14ac:dyDescent="0.25">
      <c r="A157" s="8" t="s">
        <v>200</v>
      </c>
      <c r="B157" s="8">
        <v>907</v>
      </c>
      <c r="C157" s="8"/>
      <c r="D157" s="9"/>
      <c r="E157" s="8">
        <v>266</v>
      </c>
      <c r="F157" s="9">
        <f t="shared" si="7"/>
        <v>0.29327453142227122</v>
      </c>
      <c r="G157" s="8">
        <v>33</v>
      </c>
      <c r="H157" s="9">
        <f t="shared" si="8"/>
        <v>0.12406015037593984</v>
      </c>
    </row>
    <row r="158" spans="1:8" x14ac:dyDescent="0.25">
      <c r="A158" s="8" t="s">
        <v>154</v>
      </c>
      <c r="B158" s="10">
        <v>12534</v>
      </c>
      <c r="C158" s="8"/>
      <c r="D158" s="9"/>
      <c r="E158" s="10">
        <v>3005</v>
      </c>
      <c r="F158" s="9">
        <f t="shared" si="7"/>
        <v>0.23974788575075795</v>
      </c>
      <c r="G158" s="8">
        <v>498</v>
      </c>
      <c r="H158" s="9">
        <f t="shared" si="8"/>
        <v>0.16572379367720466</v>
      </c>
    </row>
    <row r="159" spans="1:8" x14ac:dyDescent="0.25">
      <c r="A159" s="8" t="s">
        <v>53</v>
      </c>
      <c r="B159" s="8">
        <v>1350</v>
      </c>
      <c r="C159" s="8">
        <v>90</v>
      </c>
      <c r="D159" s="9">
        <f t="shared" si="6"/>
        <v>6.6666666666666666E-2</v>
      </c>
      <c r="E159" s="8">
        <v>541</v>
      </c>
      <c r="F159" s="9">
        <f t="shared" si="7"/>
        <v>0.40074074074074073</v>
      </c>
      <c r="G159" s="8">
        <v>66</v>
      </c>
      <c r="H159" s="9">
        <f t="shared" si="8"/>
        <v>0.12199630314232902</v>
      </c>
    </row>
    <row r="160" spans="1:8" x14ac:dyDescent="0.25">
      <c r="A160" s="8" t="s">
        <v>130</v>
      </c>
      <c r="B160" s="8">
        <v>6635</v>
      </c>
      <c r="C160" s="8"/>
      <c r="D160" s="9"/>
      <c r="E160" s="8">
        <v>1558</v>
      </c>
      <c r="F160" s="9">
        <f t="shared" si="7"/>
        <v>0.23481537302185382</v>
      </c>
      <c r="G160" s="8">
        <v>20</v>
      </c>
      <c r="H160" s="9">
        <f t="shared" si="8"/>
        <v>1.2836970474967908E-2</v>
      </c>
    </row>
    <row r="161" spans="1:8" x14ac:dyDescent="0.25">
      <c r="A161" s="8" t="s">
        <v>103</v>
      </c>
      <c r="B161" s="10">
        <v>4289</v>
      </c>
      <c r="C161" s="8"/>
      <c r="D161" s="9"/>
      <c r="E161" s="8">
        <v>678</v>
      </c>
      <c r="F161" s="9">
        <f t="shared" si="7"/>
        <v>0.15807880624854279</v>
      </c>
      <c r="G161" s="8">
        <v>69</v>
      </c>
      <c r="H161" s="9">
        <f t="shared" si="8"/>
        <v>0.10176991150442478</v>
      </c>
    </row>
    <row r="162" spans="1:8" x14ac:dyDescent="0.25">
      <c r="A162" s="8" t="s">
        <v>201</v>
      </c>
      <c r="B162" s="8">
        <v>4921</v>
      </c>
      <c r="C162" s="8"/>
      <c r="D162" s="9"/>
      <c r="E162" s="8">
        <v>1438</v>
      </c>
      <c r="F162" s="9">
        <f t="shared" si="7"/>
        <v>0.29221702905913433</v>
      </c>
      <c r="G162" s="8">
        <v>157</v>
      </c>
      <c r="H162" s="9">
        <f t="shared" si="8"/>
        <v>0.10917941585535466</v>
      </c>
    </row>
    <row r="163" spans="1:8" x14ac:dyDescent="0.25">
      <c r="A163" s="8" t="s">
        <v>202</v>
      </c>
      <c r="B163" s="8">
        <v>128</v>
      </c>
      <c r="C163" s="8">
        <v>20</v>
      </c>
      <c r="D163" s="9">
        <f t="shared" si="6"/>
        <v>0.15625</v>
      </c>
      <c r="E163" s="8"/>
      <c r="F163" s="9"/>
      <c r="G163" s="8"/>
      <c r="H163" s="9"/>
    </row>
    <row r="164" spans="1:8" x14ac:dyDescent="0.25">
      <c r="A164" s="8" t="s">
        <v>133</v>
      </c>
      <c r="B164" s="8">
        <v>1251</v>
      </c>
      <c r="C164" s="8">
        <v>111</v>
      </c>
      <c r="D164" s="9">
        <f t="shared" si="6"/>
        <v>8.8729016786570747E-2</v>
      </c>
      <c r="E164" s="8">
        <v>178</v>
      </c>
      <c r="F164" s="9">
        <f t="shared" si="7"/>
        <v>0.14228617106314947</v>
      </c>
      <c r="G164" s="8">
        <v>14</v>
      </c>
      <c r="H164" s="9">
        <f t="shared" si="8"/>
        <v>7.8651685393258425E-2</v>
      </c>
    </row>
    <row r="165" spans="1:8" x14ac:dyDescent="0.25">
      <c r="A165" s="8" t="s">
        <v>14</v>
      </c>
      <c r="B165" s="8">
        <v>494</v>
      </c>
      <c r="C165" s="8">
        <v>63</v>
      </c>
      <c r="D165" s="9">
        <f t="shared" si="6"/>
        <v>0.12753036437246965</v>
      </c>
      <c r="E165" s="8"/>
      <c r="F165" s="9"/>
      <c r="G165" s="8"/>
      <c r="H165" s="9"/>
    </row>
    <row r="166" spans="1:8" x14ac:dyDescent="0.25">
      <c r="A166" s="8" t="s">
        <v>33</v>
      </c>
      <c r="B166" s="8">
        <v>3649</v>
      </c>
      <c r="C166" s="8">
        <v>187</v>
      </c>
      <c r="D166" s="9">
        <f t="shared" si="6"/>
        <v>5.1246916963551659E-2</v>
      </c>
      <c r="E166" s="8">
        <v>835</v>
      </c>
      <c r="F166" s="9">
        <f t="shared" si="7"/>
        <v>0.22882981638805153</v>
      </c>
      <c r="G166" s="8">
        <v>113</v>
      </c>
      <c r="H166" s="9">
        <f t="shared" si="8"/>
        <v>0.13532934131736526</v>
      </c>
    </row>
    <row r="167" spans="1:8" x14ac:dyDescent="0.25">
      <c r="A167" s="8" t="s">
        <v>117</v>
      </c>
      <c r="B167" s="8">
        <v>884</v>
      </c>
      <c r="C167" s="8">
        <v>174</v>
      </c>
      <c r="D167" s="9">
        <f t="shared" si="6"/>
        <v>0.19683257918552036</v>
      </c>
      <c r="E167" s="8"/>
      <c r="F167" s="9"/>
      <c r="G167" s="8"/>
      <c r="H167" s="9"/>
    </row>
    <row r="168" spans="1:8" x14ac:dyDescent="0.25">
      <c r="A168" s="8" t="s">
        <v>138</v>
      </c>
      <c r="B168" s="8">
        <v>193</v>
      </c>
      <c r="C168" s="8">
        <v>38</v>
      </c>
      <c r="D168" s="9">
        <f t="shared" si="6"/>
        <v>0.19689119170984457</v>
      </c>
      <c r="E168" s="8"/>
      <c r="F168" s="9"/>
      <c r="G168" s="8"/>
      <c r="H168" s="9"/>
    </row>
    <row r="169" spans="1:8" x14ac:dyDescent="0.25">
      <c r="A169" s="8" t="s">
        <v>203</v>
      </c>
      <c r="B169" s="8">
        <v>394</v>
      </c>
      <c r="C169" s="8">
        <v>84</v>
      </c>
      <c r="D169" s="9">
        <f t="shared" si="6"/>
        <v>0.21319796954314721</v>
      </c>
      <c r="E169" s="8"/>
      <c r="F169" s="9"/>
      <c r="G169" s="8"/>
      <c r="H169" s="9"/>
    </row>
    <row r="170" spans="1:8" x14ac:dyDescent="0.25">
      <c r="A170" s="8" t="s">
        <v>204</v>
      </c>
      <c r="B170" s="8">
        <v>635</v>
      </c>
      <c r="C170" s="8">
        <v>65</v>
      </c>
      <c r="D170" s="9">
        <f t="shared" si="6"/>
        <v>0.10236220472440945</v>
      </c>
      <c r="E170" s="8">
        <v>125</v>
      </c>
      <c r="F170" s="9">
        <f t="shared" si="7"/>
        <v>0.19685039370078741</v>
      </c>
      <c r="G170" s="8">
        <v>6</v>
      </c>
      <c r="H170" s="9">
        <f t="shared" si="8"/>
        <v>4.8000000000000001E-2</v>
      </c>
    </row>
    <row r="171" spans="1:8" x14ac:dyDescent="0.25">
      <c r="A171" s="8" t="s">
        <v>170</v>
      </c>
      <c r="B171" s="10">
        <v>3734</v>
      </c>
      <c r="C171" s="8"/>
      <c r="D171" s="9"/>
      <c r="E171" s="8">
        <v>886</v>
      </c>
      <c r="F171" s="9">
        <f t="shared" si="7"/>
        <v>0.23727905731119442</v>
      </c>
      <c r="G171" s="8">
        <v>70</v>
      </c>
      <c r="H171" s="9">
        <f t="shared" si="8"/>
        <v>7.900677200902935E-2</v>
      </c>
    </row>
    <row r="172" spans="1:8" x14ac:dyDescent="0.25">
      <c r="A172" s="8" t="s">
        <v>71</v>
      </c>
      <c r="B172" s="8">
        <v>2093</v>
      </c>
      <c r="C172" s="8">
        <v>156</v>
      </c>
      <c r="D172" s="9">
        <f t="shared" si="6"/>
        <v>7.4534161490683232E-2</v>
      </c>
      <c r="E172" s="8">
        <v>564</v>
      </c>
      <c r="F172" s="9">
        <f t="shared" si="7"/>
        <v>0.26946966077400858</v>
      </c>
      <c r="G172" s="8">
        <v>42</v>
      </c>
      <c r="H172" s="9">
        <f t="shared" si="8"/>
        <v>7.4468085106382975E-2</v>
      </c>
    </row>
    <row r="173" spans="1:8" x14ac:dyDescent="0.25">
      <c r="A173" s="8" t="s">
        <v>38</v>
      </c>
      <c r="B173" s="8">
        <v>399</v>
      </c>
      <c r="C173" s="8">
        <v>72</v>
      </c>
      <c r="D173" s="9">
        <f t="shared" si="6"/>
        <v>0.18045112781954886</v>
      </c>
      <c r="E173" s="8">
        <v>125</v>
      </c>
      <c r="F173" s="9">
        <f t="shared" si="7"/>
        <v>0.31328320802005011</v>
      </c>
      <c r="G173" s="8">
        <v>11</v>
      </c>
      <c r="H173" s="9">
        <f t="shared" si="8"/>
        <v>8.7999999999999995E-2</v>
      </c>
    </row>
    <row r="174" spans="1:8" x14ac:dyDescent="0.25">
      <c r="A174" s="8" t="s">
        <v>205</v>
      </c>
      <c r="B174" s="8">
        <v>799</v>
      </c>
      <c r="C174" s="8">
        <v>86</v>
      </c>
      <c r="D174" s="9">
        <f t="shared" si="6"/>
        <v>0.10763454317897372</v>
      </c>
      <c r="E174" s="8"/>
      <c r="F174" s="9"/>
      <c r="G174" s="8"/>
      <c r="H174" s="9"/>
    </row>
    <row r="175" spans="1:8" x14ac:dyDescent="0.25">
      <c r="A175" s="8" t="s">
        <v>120</v>
      </c>
      <c r="B175" s="8">
        <v>905</v>
      </c>
      <c r="C175" s="8">
        <v>138</v>
      </c>
      <c r="D175" s="9">
        <f t="shared" si="6"/>
        <v>0.15248618784530388</v>
      </c>
      <c r="E175" s="8"/>
      <c r="F175" s="9"/>
      <c r="G175" s="8"/>
      <c r="H175" s="9"/>
    </row>
    <row r="176" spans="1:8" x14ac:dyDescent="0.25">
      <c r="A176" s="8" t="s">
        <v>142</v>
      </c>
      <c r="B176" s="8">
        <v>980</v>
      </c>
      <c r="C176" s="8">
        <v>70</v>
      </c>
      <c r="D176" s="9">
        <f t="shared" si="6"/>
        <v>7.1428571428571425E-2</v>
      </c>
      <c r="E176" s="8">
        <v>74</v>
      </c>
      <c r="F176" s="9">
        <f t="shared" si="7"/>
        <v>7.5510204081632656E-2</v>
      </c>
      <c r="G176" s="8"/>
      <c r="H176" s="9"/>
    </row>
    <row r="177" spans="1:8" x14ac:dyDescent="0.25">
      <c r="A177" s="8" t="s">
        <v>131</v>
      </c>
      <c r="B177" s="8">
        <v>949</v>
      </c>
      <c r="C177" s="8">
        <v>110</v>
      </c>
      <c r="D177" s="9">
        <f t="shared" si="6"/>
        <v>0.11591148577449947</v>
      </c>
      <c r="E177" s="8"/>
      <c r="F177" s="9"/>
      <c r="G177" s="8"/>
      <c r="H177" s="9"/>
    </row>
    <row r="178" spans="1:8" x14ac:dyDescent="0.25">
      <c r="A178" s="8" t="s">
        <v>110</v>
      </c>
      <c r="B178" s="8">
        <v>2354</v>
      </c>
      <c r="C178" s="8"/>
      <c r="D178" s="9"/>
      <c r="E178" s="8">
        <v>681</v>
      </c>
      <c r="F178" s="9">
        <f t="shared" si="7"/>
        <v>0.28929481733220053</v>
      </c>
      <c r="G178" s="8">
        <v>88</v>
      </c>
      <c r="H178" s="9">
        <f t="shared" si="8"/>
        <v>0.12922173274596183</v>
      </c>
    </row>
    <row r="179" spans="1:8" x14ac:dyDescent="0.25">
      <c r="A179" s="8" t="s">
        <v>11</v>
      </c>
      <c r="B179" s="8">
        <v>68</v>
      </c>
      <c r="C179" s="8">
        <v>45</v>
      </c>
      <c r="D179" s="9">
        <f t="shared" si="6"/>
        <v>0.66176470588235292</v>
      </c>
      <c r="E179" s="8"/>
      <c r="F179" s="9"/>
      <c r="G179" s="8"/>
      <c r="H179" s="9"/>
    </row>
    <row r="180" spans="1:8" x14ac:dyDescent="0.25">
      <c r="A180" s="8" t="s">
        <v>66</v>
      </c>
      <c r="B180" s="8">
        <v>1429</v>
      </c>
      <c r="C180" s="8">
        <v>189</v>
      </c>
      <c r="D180" s="9">
        <f t="shared" si="6"/>
        <v>0.13226032190342898</v>
      </c>
      <c r="E180" s="8">
        <v>527</v>
      </c>
      <c r="F180" s="9">
        <f t="shared" si="7"/>
        <v>0.36878936319104266</v>
      </c>
      <c r="G180" s="8">
        <v>40</v>
      </c>
      <c r="H180" s="9">
        <f t="shared" si="8"/>
        <v>7.5901328273244778E-2</v>
      </c>
    </row>
    <row r="181" spans="1:8" x14ac:dyDescent="0.25">
      <c r="A181" s="8" t="s">
        <v>42</v>
      </c>
      <c r="B181" s="8">
        <v>656</v>
      </c>
      <c r="C181" s="8">
        <v>82</v>
      </c>
      <c r="D181" s="9">
        <f t="shared" si="6"/>
        <v>0.125</v>
      </c>
      <c r="E181" s="8">
        <v>234</v>
      </c>
      <c r="F181" s="9">
        <f t="shared" si="7"/>
        <v>0.35670731707317072</v>
      </c>
      <c r="G181" s="8">
        <v>44</v>
      </c>
      <c r="H181" s="9">
        <f t="shared" si="8"/>
        <v>0.18803418803418803</v>
      </c>
    </row>
    <row r="182" spans="1:8" x14ac:dyDescent="0.25">
      <c r="A182" s="8" t="s">
        <v>93</v>
      </c>
      <c r="B182" s="8">
        <v>1475</v>
      </c>
      <c r="C182" s="8"/>
      <c r="D182" s="9"/>
      <c r="E182" s="8">
        <v>552</v>
      </c>
      <c r="F182" s="9">
        <f t="shared" si="7"/>
        <v>0.3742372881355932</v>
      </c>
      <c r="G182" s="8">
        <v>100</v>
      </c>
      <c r="H182" s="9">
        <f t="shared" si="8"/>
        <v>0.18115942028985507</v>
      </c>
    </row>
    <row r="183" spans="1:8" x14ac:dyDescent="0.25">
      <c r="A183" s="8" t="s">
        <v>61</v>
      </c>
      <c r="B183" s="8">
        <v>37</v>
      </c>
      <c r="C183" s="8">
        <v>37</v>
      </c>
      <c r="D183" s="9">
        <f t="shared" si="6"/>
        <v>1</v>
      </c>
      <c r="E183" s="8">
        <v>80</v>
      </c>
      <c r="F183" s="9">
        <f t="shared" si="7"/>
        <v>2.1621621621621623</v>
      </c>
      <c r="G183" s="8"/>
      <c r="H183" s="9"/>
    </row>
    <row r="184" spans="1:8" x14ac:dyDescent="0.25">
      <c r="A184" s="8" t="s">
        <v>20</v>
      </c>
      <c r="B184" s="8">
        <v>502</v>
      </c>
      <c r="C184" s="8">
        <v>79</v>
      </c>
      <c r="D184" s="9">
        <f t="shared" si="6"/>
        <v>0.15737051792828685</v>
      </c>
      <c r="E184" s="8"/>
      <c r="F184" s="9"/>
      <c r="G184" s="8"/>
      <c r="H184" s="9"/>
    </row>
    <row r="185" spans="1:8" x14ac:dyDescent="0.25">
      <c r="A185" s="8" t="s">
        <v>132</v>
      </c>
      <c r="B185" s="8">
        <v>1289</v>
      </c>
      <c r="C185" s="8">
        <v>159</v>
      </c>
      <c r="D185" s="9">
        <f t="shared" si="6"/>
        <v>0.12335143522110163</v>
      </c>
      <c r="E185" s="8">
        <v>237</v>
      </c>
      <c r="F185" s="9">
        <f t="shared" si="7"/>
        <v>0.18386346004654772</v>
      </c>
      <c r="G185" s="8">
        <v>7</v>
      </c>
      <c r="H185" s="9">
        <f t="shared" si="8"/>
        <v>2.9535864978902954E-2</v>
      </c>
    </row>
    <row r="186" spans="1:8" x14ac:dyDescent="0.25">
      <c r="A186" s="8" t="s">
        <v>3</v>
      </c>
      <c r="B186" s="8">
        <v>780</v>
      </c>
      <c r="C186" s="8">
        <v>50</v>
      </c>
      <c r="D186" s="9">
        <f t="shared" si="6"/>
        <v>6.4102564102564097E-2</v>
      </c>
      <c r="E186" s="8">
        <v>70</v>
      </c>
      <c r="F186" s="9">
        <f t="shared" si="7"/>
        <v>8.9743589743589744E-2</v>
      </c>
      <c r="G186" s="8">
        <v>6</v>
      </c>
      <c r="H186" s="9">
        <f t="shared" si="8"/>
        <v>8.5714285714285715E-2</v>
      </c>
    </row>
    <row r="187" spans="1:8" x14ac:dyDescent="0.25">
      <c r="A187" s="8" t="s">
        <v>177</v>
      </c>
      <c r="B187" s="8">
        <v>3727</v>
      </c>
      <c r="C187" s="8"/>
      <c r="D187" s="9"/>
      <c r="E187" s="8">
        <v>1481</v>
      </c>
      <c r="F187" s="9">
        <f t="shared" si="7"/>
        <v>0.39737053930775423</v>
      </c>
      <c r="G187" s="8">
        <v>430</v>
      </c>
      <c r="H187" s="9">
        <f t="shared" si="8"/>
        <v>0.29034436191762325</v>
      </c>
    </row>
    <row r="188" spans="1:8" x14ac:dyDescent="0.25">
      <c r="A188" s="8" t="s">
        <v>47</v>
      </c>
      <c r="B188" s="8">
        <v>904</v>
      </c>
      <c r="C188" s="8">
        <v>92</v>
      </c>
      <c r="D188" s="9">
        <f t="shared" si="6"/>
        <v>0.10176991150442478</v>
      </c>
      <c r="E188" s="8">
        <v>129</v>
      </c>
      <c r="F188" s="9">
        <f t="shared" si="7"/>
        <v>0.14269911504424779</v>
      </c>
      <c r="G188" s="8">
        <v>4</v>
      </c>
      <c r="H188" s="9">
        <f t="shared" si="8"/>
        <v>3.1007751937984496E-2</v>
      </c>
    </row>
    <row r="189" spans="1:8" x14ac:dyDescent="0.25">
      <c r="A189" s="8" t="s">
        <v>78</v>
      </c>
      <c r="B189" s="8">
        <v>538</v>
      </c>
      <c r="C189" s="8">
        <v>29</v>
      </c>
      <c r="D189" s="9">
        <f t="shared" si="6"/>
        <v>5.3903345724907063E-2</v>
      </c>
      <c r="E189" s="8"/>
      <c r="F189" s="9"/>
      <c r="G189" s="8"/>
      <c r="H189" s="9"/>
    </row>
    <row r="190" spans="1:8" x14ac:dyDescent="0.25">
      <c r="A190" s="8" t="s">
        <v>113</v>
      </c>
      <c r="B190" s="10">
        <v>2052</v>
      </c>
      <c r="C190" s="8"/>
      <c r="D190" s="9"/>
      <c r="E190" s="8">
        <v>669</v>
      </c>
      <c r="F190" s="9">
        <f t="shared" si="7"/>
        <v>0.32602339181286549</v>
      </c>
      <c r="G190" s="8">
        <v>90</v>
      </c>
      <c r="H190" s="9">
        <f t="shared" si="8"/>
        <v>0.13452914798206278</v>
      </c>
    </row>
    <row r="191" spans="1:8" x14ac:dyDescent="0.25">
      <c r="A191" s="8" t="s">
        <v>44</v>
      </c>
      <c r="B191" s="8">
        <v>832</v>
      </c>
      <c r="C191" s="8"/>
      <c r="D191" s="9"/>
      <c r="E191" s="8">
        <v>206</v>
      </c>
      <c r="F191" s="9">
        <f t="shared" si="7"/>
        <v>0.24759615384615385</v>
      </c>
      <c r="G191" s="8">
        <v>21</v>
      </c>
      <c r="H191" s="9">
        <f t="shared" si="8"/>
        <v>0.10194174757281553</v>
      </c>
    </row>
    <row r="192" spans="1:8" x14ac:dyDescent="0.25">
      <c r="A192" s="8" t="s">
        <v>125</v>
      </c>
      <c r="B192" s="8">
        <v>456</v>
      </c>
      <c r="C192" s="8"/>
      <c r="D192" s="9"/>
      <c r="E192" s="8">
        <v>87</v>
      </c>
      <c r="F192" s="9">
        <f t="shared" si="7"/>
        <v>0.19078947368421054</v>
      </c>
      <c r="G192" s="8">
        <v>6</v>
      </c>
      <c r="H192" s="9">
        <f t="shared" si="8"/>
        <v>6.8965517241379309E-2</v>
      </c>
    </row>
    <row r="193" spans="1:8" x14ac:dyDescent="0.25">
      <c r="A193" s="8" t="s">
        <v>7</v>
      </c>
      <c r="B193" s="8">
        <v>800</v>
      </c>
      <c r="C193" s="8">
        <v>166</v>
      </c>
      <c r="D193" s="9">
        <f t="shared" si="6"/>
        <v>0.20749999999999999</v>
      </c>
      <c r="E193" s="8"/>
      <c r="F193" s="9"/>
      <c r="G193" s="8"/>
      <c r="H193" s="9"/>
    </row>
    <row r="194" spans="1:8" x14ac:dyDescent="0.25">
      <c r="A194" s="8" t="s">
        <v>141</v>
      </c>
      <c r="B194" s="8">
        <v>374</v>
      </c>
      <c r="C194" s="8">
        <v>45</v>
      </c>
      <c r="D194" s="9">
        <f t="shared" si="6"/>
        <v>0.12032085561497326</v>
      </c>
      <c r="E194" s="8">
        <v>59</v>
      </c>
      <c r="F194" s="9">
        <f t="shared" si="7"/>
        <v>0.15775401069518716</v>
      </c>
      <c r="G194" s="8">
        <v>3</v>
      </c>
      <c r="H194" s="9">
        <f t="shared" si="8"/>
        <v>5.0847457627118647E-2</v>
      </c>
    </row>
    <row r="195" spans="1:8" x14ac:dyDescent="0.25">
      <c r="A195" s="8" t="s">
        <v>158</v>
      </c>
      <c r="B195" s="8">
        <v>1510</v>
      </c>
      <c r="C195" s="8">
        <v>192</v>
      </c>
      <c r="D195" s="9">
        <f t="shared" ref="D195:D209" si="9">SUM(C195/B195)</f>
        <v>0.1271523178807947</v>
      </c>
      <c r="E195" s="8">
        <v>641</v>
      </c>
      <c r="F195" s="9">
        <f t="shared" si="7"/>
        <v>0.42450331125827817</v>
      </c>
      <c r="G195" s="8">
        <v>65</v>
      </c>
      <c r="H195" s="9">
        <f t="shared" si="8"/>
        <v>0.10140405616224649</v>
      </c>
    </row>
    <row r="196" spans="1:8" x14ac:dyDescent="0.25">
      <c r="A196" s="8" t="s">
        <v>6</v>
      </c>
      <c r="B196" s="8">
        <v>2302</v>
      </c>
      <c r="C196" s="8">
        <v>137</v>
      </c>
      <c r="D196" s="9">
        <f t="shared" si="9"/>
        <v>5.9513466550825372E-2</v>
      </c>
      <c r="E196" s="8">
        <v>374</v>
      </c>
      <c r="F196" s="9">
        <f t="shared" ref="F196:F209" si="10">SUM(E196/B196)</f>
        <v>0.16246741963509992</v>
      </c>
      <c r="G196" s="8">
        <v>35</v>
      </c>
      <c r="H196" s="9">
        <f t="shared" ref="H196:H209" si="11">SUM(G196/E196)</f>
        <v>9.3582887700534759E-2</v>
      </c>
    </row>
    <row r="197" spans="1:8" x14ac:dyDescent="0.25">
      <c r="A197" s="8" t="s">
        <v>1</v>
      </c>
      <c r="B197" s="8">
        <v>485</v>
      </c>
      <c r="C197" s="8">
        <v>162</v>
      </c>
      <c r="D197" s="9">
        <f t="shared" si="9"/>
        <v>0.33402061855670101</v>
      </c>
      <c r="E197" s="8"/>
      <c r="F197" s="9"/>
      <c r="G197" s="8"/>
      <c r="H197" s="9"/>
    </row>
    <row r="198" spans="1:8" x14ac:dyDescent="0.25">
      <c r="A198" s="8" t="s">
        <v>16</v>
      </c>
      <c r="B198" s="8">
        <v>695</v>
      </c>
      <c r="C198" s="8">
        <v>125</v>
      </c>
      <c r="D198" s="9">
        <f t="shared" si="9"/>
        <v>0.17985611510791366</v>
      </c>
      <c r="E198" s="8">
        <v>259</v>
      </c>
      <c r="F198" s="9">
        <f t="shared" si="10"/>
        <v>0.37266187050359711</v>
      </c>
      <c r="G198" s="8">
        <v>12</v>
      </c>
      <c r="H198" s="9">
        <f t="shared" si="11"/>
        <v>4.633204633204633E-2</v>
      </c>
    </row>
    <row r="199" spans="1:8" x14ac:dyDescent="0.25">
      <c r="A199" s="8" t="s">
        <v>206</v>
      </c>
      <c r="B199" s="8">
        <v>512</v>
      </c>
      <c r="C199" s="8">
        <v>84</v>
      </c>
      <c r="D199" s="9">
        <f t="shared" si="9"/>
        <v>0.1640625</v>
      </c>
      <c r="E199" s="8">
        <v>132</v>
      </c>
      <c r="F199" s="9">
        <f t="shared" si="10"/>
        <v>0.2578125</v>
      </c>
      <c r="G199" s="8">
        <v>2</v>
      </c>
      <c r="H199" s="9">
        <f t="shared" si="11"/>
        <v>1.5151515151515152E-2</v>
      </c>
    </row>
    <row r="200" spans="1:8" x14ac:dyDescent="0.25">
      <c r="A200" s="8" t="s">
        <v>124</v>
      </c>
      <c r="B200" s="8">
        <v>1954</v>
      </c>
      <c r="C200" s="8">
        <v>81</v>
      </c>
      <c r="D200" s="9">
        <f t="shared" si="9"/>
        <v>4.1453428863868984E-2</v>
      </c>
      <c r="E200" s="8">
        <v>346</v>
      </c>
      <c r="F200" s="9">
        <f t="shared" si="10"/>
        <v>0.17707267144319344</v>
      </c>
      <c r="G200" s="8">
        <v>47</v>
      </c>
      <c r="H200" s="9">
        <f t="shared" si="11"/>
        <v>0.13583815028901733</v>
      </c>
    </row>
    <row r="201" spans="1:8" x14ac:dyDescent="0.25">
      <c r="A201" s="8" t="s">
        <v>29</v>
      </c>
      <c r="B201" s="8">
        <v>8113</v>
      </c>
      <c r="C201" s="8"/>
      <c r="D201" s="9"/>
      <c r="E201" s="8">
        <v>1290</v>
      </c>
      <c r="F201" s="9">
        <f t="shared" si="10"/>
        <v>0.15900406754591395</v>
      </c>
      <c r="G201" s="8">
        <v>137</v>
      </c>
      <c r="H201" s="9">
        <f t="shared" si="11"/>
        <v>0.1062015503875969</v>
      </c>
    </row>
    <row r="202" spans="1:8" x14ac:dyDescent="0.25">
      <c r="A202" s="8" t="s">
        <v>207</v>
      </c>
      <c r="B202" s="8">
        <v>1549</v>
      </c>
      <c r="C202" s="8">
        <v>69</v>
      </c>
      <c r="D202" s="9">
        <f t="shared" si="9"/>
        <v>4.4544867656552613E-2</v>
      </c>
      <c r="E202" s="8">
        <v>434</v>
      </c>
      <c r="F202" s="9">
        <f t="shared" si="10"/>
        <v>0.28018076178179468</v>
      </c>
      <c r="G202" s="8">
        <v>65</v>
      </c>
      <c r="H202" s="9">
        <f t="shared" si="11"/>
        <v>0.14976958525345621</v>
      </c>
    </row>
    <row r="203" spans="1:8" x14ac:dyDescent="0.25">
      <c r="A203" s="8" t="s">
        <v>69</v>
      </c>
      <c r="B203" s="8">
        <v>317</v>
      </c>
      <c r="C203" s="8">
        <v>61</v>
      </c>
      <c r="D203" s="9">
        <f t="shared" si="9"/>
        <v>0.19242902208201892</v>
      </c>
      <c r="E203" s="8"/>
      <c r="F203" s="9"/>
      <c r="G203" s="8"/>
      <c r="H203" s="9"/>
    </row>
    <row r="204" spans="1:8" x14ac:dyDescent="0.25">
      <c r="A204" s="8" t="s">
        <v>149</v>
      </c>
      <c r="B204" s="8">
        <v>2944</v>
      </c>
      <c r="C204" s="8"/>
      <c r="D204" s="9"/>
      <c r="E204" s="8">
        <v>509</v>
      </c>
      <c r="F204" s="9">
        <f t="shared" si="10"/>
        <v>0.17289402173913043</v>
      </c>
      <c r="G204" s="8">
        <v>33</v>
      </c>
      <c r="H204" s="9">
        <f t="shared" si="11"/>
        <v>6.4833005893909626E-2</v>
      </c>
    </row>
    <row r="205" spans="1:8" x14ac:dyDescent="0.25">
      <c r="A205" s="8" t="s">
        <v>90</v>
      </c>
      <c r="B205" s="8">
        <v>634</v>
      </c>
      <c r="C205" s="8">
        <v>80</v>
      </c>
      <c r="D205" s="9">
        <f t="shared" si="9"/>
        <v>0.12618296529968454</v>
      </c>
      <c r="E205" s="8">
        <v>81</v>
      </c>
      <c r="F205" s="9">
        <f t="shared" si="10"/>
        <v>0.12776025236593061</v>
      </c>
      <c r="G205" s="8">
        <v>5</v>
      </c>
      <c r="H205" s="9">
        <f t="shared" si="11"/>
        <v>6.1728395061728392E-2</v>
      </c>
    </row>
    <row r="206" spans="1:8" x14ac:dyDescent="0.25">
      <c r="A206" s="8" t="s">
        <v>182</v>
      </c>
      <c r="B206" s="8">
        <v>5241</v>
      </c>
      <c r="C206" s="8"/>
      <c r="D206" s="9"/>
      <c r="E206" s="8">
        <v>690</v>
      </c>
      <c r="F206" s="9">
        <f t="shared" si="10"/>
        <v>0.1316542644533486</v>
      </c>
      <c r="G206" s="8">
        <v>54</v>
      </c>
      <c r="H206" s="9">
        <f t="shared" si="11"/>
        <v>7.8260869565217397E-2</v>
      </c>
    </row>
    <row r="207" spans="1:8" x14ac:dyDescent="0.25">
      <c r="A207" s="8" t="s">
        <v>119</v>
      </c>
      <c r="B207" s="8">
        <v>659</v>
      </c>
      <c r="C207" s="8">
        <v>120</v>
      </c>
      <c r="D207" s="9">
        <f t="shared" si="9"/>
        <v>0.18209408194233687</v>
      </c>
      <c r="E207" s="8"/>
      <c r="F207" s="9"/>
      <c r="G207" s="8"/>
      <c r="H207" s="9"/>
    </row>
    <row r="208" spans="1:8" ht="16.5" thickBot="1" x14ac:dyDescent="0.3">
      <c r="A208" s="11" t="s">
        <v>112</v>
      </c>
      <c r="B208" s="11">
        <v>2648</v>
      </c>
      <c r="C208" s="11">
        <v>90</v>
      </c>
      <c r="D208" s="12">
        <f t="shared" si="9"/>
        <v>3.3987915407854986E-2</v>
      </c>
      <c r="E208" s="11">
        <v>546</v>
      </c>
      <c r="F208" s="12">
        <f t="shared" si="10"/>
        <v>0.20619335347432025</v>
      </c>
      <c r="G208" s="11">
        <v>39</v>
      </c>
      <c r="H208" s="12">
        <f t="shared" si="11"/>
        <v>7.1428571428571425E-2</v>
      </c>
    </row>
    <row r="209" spans="1:8" ht="33" thickTop="1" thickBot="1" x14ac:dyDescent="0.3">
      <c r="A209" s="5" t="s">
        <v>217</v>
      </c>
      <c r="B209" s="7">
        <v>167603</v>
      </c>
      <c r="C209" s="13">
        <f>SUM(C2:C208)</f>
        <v>13231</v>
      </c>
      <c r="D209" s="14">
        <f t="shared" si="9"/>
        <v>7.8942501029217849E-2</v>
      </c>
      <c r="E209" s="7"/>
      <c r="F209" s="14"/>
      <c r="G209" s="7"/>
      <c r="H209" s="6"/>
    </row>
    <row r="210" spans="1:8" ht="48.75" thickTop="1" thickBot="1" x14ac:dyDescent="0.3">
      <c r="A210" s="5" t="s">
        <v>216</v>
      </c>
      <c r="B210" s="7">
        <v>347131</v>
      </c>
      <c r="C210" s="13"/>
      <c r="D210" s="14"/>
      <c r="E210" s="7">
        <f>SUM(E2:E209)</f>
        <v>83211</v>
      </c>
      <c r="F210" s="14">
        <f t="shared" ref="F210" si="12">SUM(E210/B210)</f>
        <v>0.23971065678375023</v>
      </c>
      <c r="G210" s="7">
        <f>SUM(G3:G209)</f>
        <v>10841</v>
      </c>
      <c r="H210" s="6">
        <f t="shared" ref="H210" si="13">SUM(G210/E210)</f>
        <v>0.13028325581954309</v>
      </c>
    </row>
    <row r="211" spans="1:8" ht="16.5" thickTop="1" x14ac:dyDescent="0.25"/>
  </sheetData>
  <phoneticPr fontId="0" type="noConversion"/>
  <pageMargins left="0.7" right="0.7" top="0.75" bottom="0.75" header="0.3" footer="0.3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8" sqref="E8:I214"/>
    </sheetView>
  </sheetViews>
  <sheetFormatPr defaultRowHeight="15" x14ac:dyDescent="0.25"/>
  <sheetData/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C95AF8DB4A494486A2308AE1E40BD6" ma:contentTypeVersion="2" ma:contentTypeDescription="Create a new document." ma:contentTypeScope="" ma:versionID="96f38268afb03f34a464ca8bb5434658">
  <xsd:schema xmlns:xsd="http://www.w3.org/2001/XMLSchema" xmlns:xs="http://www.w3.org/2001/XMLSchema" xmlns:p="http://schemas.microsoft.com/office/2006/metadata/properties" xmlns:ns2="3b005fd8-62d5-4927-a0f9-fdac9185221f" targetNamespace="http://schemas.microsoft.com/office/2006/metadata/properties" ma:root="true" ma:fieldsID="b48854907cd009d8f78c816ac58b3831" ns2:_="">
    <xsd:import namespace="3b005fd8-62d5-4927-a0f9-fdac918522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05fd8-62d5-4927-a0f9-fdac9185221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b005fd8-62d5-4927-a0f9-fdac9185221f">DE6UZ2SY5E43-1273115200-257</_dlc_DocId>
    <_dlc_DocIdUrl xmlns="3b005fd8-62d5-4927-a0f9-fdac9185221f">
      <Url>https://outside.vermont.gov/dept/sos/_layouts/15/DocIdRedir.aspx?ID=DE6UZ2SY5E43-1273115200-257</Url>
      <Description>DE6UZ2SY5E43-1273115200-257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2F66F3E-D8C5-46BA-8E7F-D0B0E9D6F92B}"/>
</file>

<file path=customXml/itemProps2.xml><?xml version="1.0" encoding="utf-8"?>
<ds:datastoreItem xmlns:ds="http://schemas.openxmlformats.org/officeDocument/2006/customXml" ds:itemID="{05F2DBAF-C3C2-4311-B33C-E9D552CB0ECF}"/>
</file>

<file path=customXml/itemProps3.xml><?xml version="1.0" encoding="utf-8"?>
<ds:datastoreItem xmlns:ds="http://schemas.openxmlformats.org/officeDocument/2006/customXml" ds:itemID="{E2F8FE59-A045-4CEC-B492-D4DB410E4C16}"/>
</file>

<file path=customXml/itemProps4.xml><?xml version="1.0" encoding="utf-8"?>
<ds:datastoreItem xmlns:ds="http://schemas.openxmlformats.org/officeDocument/2006/customXml" ds:itemID="{B4E82E85-2CD6-4866-97F0-0DB396C7E6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Vermont Secretary of State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Harrington, Liz</dc:creator>
  <cp:lastModifiedBy>Bjornlund, Lori</cp:lastModifiedBy>
  <dcterms:created xsi:type="dcterms:W3CDTF">2014-09-05T19:01:34Z</dcterms:created>
  <dcterms:modified xsi:type="dcterms:W3CDTF">2017-03-03T16:17:55Z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0x01010033C95AF8DB4A494486A2308AE1E40BD6</vt:lpwstr>
  </property>
  <property fmtid="{D5CDD505-2E9C-101B-9397-08002B2CF9AE}" pid="3" name="_dlc_DocIdItemGuid">
    <vt:lpwstr>9bfb39d9-0dff-4ea0-a4fe-a89c6346c6c5</vt:lpwstr>
  </property>
</Properties>
</file>