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ttps://alfresco.sec.state.vt.us:8443/alfresco/webdav/Sites/business-division-elections/documentLibrary/Town Meeting Information &amp; Survey/2015 Town Meeting Survey/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definedNames>
    <definedName name="_xlnm._FilterDatabase" localSheetId="0" hidden="1">Sheet1!$A$1:$H$197</definedName>
  </definedNames>
  <calcPr calcId="152511"/>
</workbook>
</file>

<file path=xl/calcChain.xml><?xml version="1.0" encoding="utf-8"?>
<calcChain xmlns="http://schemas.openxmlformats.org/spreadsheetml/2006/main">
  <c r="G198" i="1" l="1"/>
  <c r="E198" i="1"/>
  <c r="F198" i="1" s="1"/>
  <c r="H198" i="1" l="1"/>
  <c r="F4" i="1"/>
  <c r="F6" i="1"/>
  <c r="F7" i="1"/>
  <c r="F8" i="1"/>
  <c r="F10" i="1"/>
  <c r="F11" i="1"/>
  <c r="F12" i="1"/>
  <c r="F14" i="1"/>
  <c r="F15" i="1"/>
  <c r="F16" i="1"/>
  <c r="F17" i="1"/>
  <c r="F20" i="1"/>
  <c r="F23" i="1"/>
  <c r="F24" i="1"/>
  <c r="F26" i="1"/>
  <c r="F27" i="1"/>
  <c r="F28" i="1"/>
  <c r="F29" i="1"/>
  <c r="F33" i="1"/>
  <c r="F34" i="1"/>
  <c r="F35" i="1"/>
  <c r="F36" i="1"/>
  <c r="F37" i="1"/>
  <c r="F38" i="1"/>
  <c r="F39" i="1"/>
  <c r="F40" i="1"/>
  <c r="F41" i="1"/>
  <c r="F43" i="1"/>
  <c r="F44" i="1"/>
  <c r="F45" i="1"/>
  <c r="F46" i="1"/>
  <c r="F49" i="1"/>
  <c r="F50" i="1"/>
  <c r="F51" i="1"/>
  <c r="F52" i="1"/>
  <c r="F53" i="1"/>
  <c r="F54" i="1"/>
  <c r="F55" i="1"/>
  <c r="F57" i="1"/>
  <c r="F58" i="1"/>
  <c r="F59" i="1"/>
  <c r="F60" i="1"/>
  <c r="F63" i="1"/>
  <c r="F66" i="1"/>
  <c r="F68" i="1"/>
  <c r="F69" i="1"/>
  <c r="F73" i="1"/>
  <c r="F74" i="1"/>
  <c r="F75" i="1"/>
  <c r="F76" i="1"/>
  <c r="F77" i="1"/>
  <c r="F78" i="1"/>
  <c r="F79" i="1"/>
  <c r="F80" i="1"/>
  <c r="F81" i="1"/>
  <c r="F83" i="1"/>
  <c r="F86" i="1"/>
  <c r="F87" i="1"/>
  <c r="F88" i="1"/>
  <c r="F91" i="1"/>
  <c r="F94" i="1"/>
  <c r="F95" i="1"/>
  <c r="F96" i="1"/>
  <c r="F97" i="1"/>
  <c r="F99" i="1"/>
  <c r="F100" i="1"/>
  <c r="F101" i="1"/>
  <c r="F102" i="1"/>
  <c r="F103" i="1"/>
  <c r="F104" i="1"/>
  <c r="F105" i="1"/>
  <c r="F106" i="1"/>
  <c r="F107" i="1"/>
  <c r="F109" i="1"/>
  <c r="F110" i="1"/>
  <c r="F111" i="1"/>
  <c r="F112" i="1"/>
  <c r="F113" i="1"/>
  <c r="F114" i="1"/>
  <c r="F116" i="1"/>
  <c r="F118" i="1"/>
  <c r="F119" i="1"/>
  <c r="F121" i="1"/>
  <c r="F123" i="1"/>
  <c r="F124" i="1"/>
  <c r="F128" i="1"/>
  <c r="F129" i="1"/>
  <c r="F130" i="1"/>
  <c r="F132" i="1"/>
  <c r="F133" i="1"/>
  <c r="F134" i="1"/>
  <c r="F136" i="1"/>
  <c r="F137" i="1"/>
  <c r="F138" i="1"/>
  <c r="F140" i="1"/>
  <c r="F141" i="1"/>
  <c r="F142" i="1"/>
  <c r="F143" i="1"/>
  <c r="F144" i="1"/>
  <c r="F145" i="1"/>
  <c r="F147" i="1"/>
  <c r="F148" i="1"/>
  <c r="F149" i="1"/>
  <c r="F150" i="1"/>
  <c r="F151" i="1"/>
  <c r="F152" i="1"/>
  <c r="F153" i="1"/>
  <c r="F154" i="1"/>
  <c r="F155" i="1"/>
  <c r="F156" i="1"/>
  <c r="F158" i="1"/>
  <c r="F159" i="1"/>
  <c r="F160" i="1"/>
  <c r="F162" i="1"/>
  <c r="F163" i="1"/>
  <c r="F166" i="1"/>
  <c r="F168" i="1"/>
  <c r="F169" i="1"/>
  <c r="F170" i="1"/>
  <c r="F171" i="1"/>
  <c r="F172" i="1"/>
  <c r="F174" i="1"/>
  <c r="F176" i="1"/>
  <c r="F177" i="1"/>
  <c r="F179" i="1"/>
  <c r="F180" i="1"/>
  <c r="F181" i="1"/>
  <c r="F183" i="1"/>
  <c r="F184" i="1"/>
  <c r="F185" i="1"/>
  <c r="F187" i="1"/>
  <c r="F188" i="1"/>
  <c r="F189" i="1"/>
  <c r="F190" i="1"/>
  <c r="F192" i="1"/>
  <c r="F193" i="1"/>
  <c r="F194" i="1"/>
  <c r="F195" i="1"/>
  <c r="F196" i="1"/>
  <c r="F2" i="1"/>
  <c r="H4" i="1"/>
  <c r="H6" i="1"/>
  <c r="H7" i="1"/>
  <c r="H8" i="1"/>
  <c r="H11" i="1"/>
  <c r="H12" i="1"/>
  <c r="H14" i="1"/>
  <c r="H15" i="1"/>
  <c r="H16" i="1"/>
  <c r="H17" i="1"/>
  <c r="H20" i="1"/>
  <c r="H23" i="1"/>
  <c r="H24" i="1"/>
  <c r="H26" i="1"/>
  <c r="H27" i="1"/>
  <c r="H28" i="1"/>
  <c r="H29" i="1"/>
  <c r="H33" i="1"/>
  <c r="H34" i="1"/>
  <c r="H35" i="1"/>
  <c r="H36" i="1"/>
  <c r="H37" i="1"/>
  <c r="H38" i="1"/>
  <c r="H39" i="1"/>
  <c r="H40" i="1"/>
  <c r="H41" i="1"/>
  <c r="H43" i="1"/>
  <c r="H44" i="1"/>
  <c r="H45" i="1"/>
  <c r="H46" i="1"/>
  <c r="H49" i="1"/>
  <c r="H50" i="1"/>
  <c r="H51" i="1"/>
  <c r="H52" i="1"/>
  <c r="H53" i="1"/>
  <c r="H54" i="1"/>
  <c r="H55" i="1"/>
  <c r="H58" i="1"/>
  <c r="H59" i="1"/>
  <c r="H60" i="1"/>
  <c r="H63" i="1"/>
  <c r="H66" i="1"/>
  <c r="H68" i="1"/>
  <c r="H69" i="1"/>
  <c r="H73" i="1"/>
  <c r="H74" i="1"/>
  <c r="H75" i="1"/>
  <c r="H76" i="1"/>
  <c r="H77" i="1"/>
  <c r="H78" i="1"/>
  <c r="H79" i="1"/>
  <c r="H80" i="1"/>
  <c r="H81" i="1"/>
  <c r="H83" i="1"/>
  <c r="H86" i="1"/>
  <c r="H87" i="1"/>
  <c r="H88" i="1"/>
  <c r="H91" i="1"/>
  <c r="H95" i="1"/>
  <c r="H96" i="1"/>
  <c r="H97" i="1"/>
  <c r="H99" i="1"/>
  <c r="H100" i="1"/>
  <c r="H101" i="1"/>
  <c r="H102" i="1"/>
  <c r="H103" i="1"/>
  <c r="H104" i="1"/>
  <c r="H105" i="1"/>
  <c r="H106" i="1"/>
  <c r="H107" i="1"/>
  <c r="H109" i="1"/>
  <c r="H110" i="1"/>
  <c r="H111" i="1"/>
  <c r="H112" i="1"/>
  <c r="H113" i="1"/>
  <c r="H114" i="1"/>
  <c r="H116" i="1"/>
  <c r="H118" i="1"/>
  <c r="H119" i="1"/>
  <c r="H121" i="1"/>
  <c r="H123" i="1"/>
  <c r="H124" i="1"/>
  <c r="H128" i="1"/>
  <c r="H129" i="1"/>
  <c r="H130" i="1"/>
  <c r="H132" i="1"/>
  <c r="H133" i="1"/>
  <c r="H134" i="1"/>
  <c r="H136" i="1"/>
  <c r="H137" i="1"/>
  <c r="H138" i="1"/>
  <c r="H140" i="1"/>
  <c r="H141" i="1"/>
  <c r="H142" i="1"/>
  <c r="H143" i="1"/>
  <c r="H144" i="1"/>
  <c r="H145" i="1"/>
  <c r="H147" i="1"/>
  <c r="H148" i="1"/>
  <c r="H149" i="1"/>
  <c r="H150" i="1"/>
  <c r="H151" i="1"/>
  <c r="H152" i="1"/>
  <c r="H153" i="1"/>
  <c r="H154" i="1"/>
  <c r="H155" i="1"/>
  <c r="H156" i="1"/>
  <c r="H158" i="1"/>
  <c r="H160" i="1"/>
  <c r="H162" i="1"/>
  <c r="H163" i="1"/>
  <c r="H168" i="1"/>
  <c r="H169" i="1"/>
  <c r="H170" i="1"/>
  <c r="H171" i="1"/>
  <c r="H172" i="1"/>
  <c r="H174" i="1"/>
  <c r="H176" i="1"/>
  <c r="H179" i="1"/>
  <c r="H180" i="1"/>
  <c r="H183" i="1"/>
  <c r="H184" i="1"/>
  <c r="H187" i="1"/>
  <c r="H188" i="1"/>
  <c r="H189" i="1"/>
  <c r="H190" i="1"/>
  <c r="H192" i="1"/>
  <c r="H193" i="1"/>
  <c r="H194" i="1"/>
  <c r="H195" i="1"/>
  <c r="H196" i="1"/>
  <c r="D173" i="1"/>
  <c r="D5" i="1"/>
  <c r="D6" i="1"/>
  <c r="D7" i="1"/>
  <c r="D8" i="1"/>
  <c r="D9" i="1"/>
  <c r="D10" i="1"/>
  <c r="D13" i="1"/>
  <c r="D15" i="1"/>
  <c r="D18" i="1"/>
  <c r="D19" i="1"/>
  <c r="D20" i="1"/>
  <c r="D21" i="1"/>
  <c r="D22" i="1"/>
  <c r="D25" i="1"/>
  <c r="D28" i="1"/>
  <c r="D31" i="1"/>
  <c r="D32" i="1"/>
  <c r="D35" i="1"/>
  <c r="D36" i="1"/>
  <c r="D37" i="1"/>
  <c r="D40" i="1"/>
  <c r="D41" i="1"/>
  <c r="D42" i="1"/>
  <c r="D43" i="1"/>
  <c r="D46" i="1"/>
  <c r="D47" i="1"/>
  <c r="D48" i="1"/>
  <c r="D49" i="1"/>
  <c r="D51" i="1"/>
  <c r="D52" i="1"/>
  <c r="D53" i="1"/>
  <c r="D54" i="1"/>
  <c r="D55" i="1"/>
  <c r="D56" i="1"/>
  <c r="D57" i="1"/>
  <c r="D59" i="1"/>
  <c r="D60" i="1"/>
  <c r="D61" i="1"/>
  <c r="D62" i="1"/>
  <c r="D63" i="1"/>
  <c r="D64" i="1"/>
  <c r="D65" i="1"/>
  <c r="D66" i="1"/>
  <c r="D67" i="1"/>
  <c r="D69" i="1"/>
  <c r="D70" i="1"/>
  <c r="D71" i="1"/>
  <c r="D72" i="1"/>
  <c r="D73" i="1"/>
  <c r="D75" i="1"/>
  <c r="D76" i="1"/>
  <c r="D77" i="1"/>
  <c r="D79" i="1"/>
  <c r="D81" i="1"/>
  <c r="D82" i="1"/>
  <c r="D84" i="1"/>
  <c r="D85" i="1"/>
  <c r="D86" i="1"/>
  <c r="D87" i="1"/>
  <c r="D89" i="1"/>
  <c r="D90" i="1"/>
  <c r="D91" i="1"/>
  <c r="D92" i="1"/>
  <c r="D93" i="1"/>
  <c r="D94" i="1"/>
  <c r="D96" i="1"/>
  <c r="D97" i="1"/>
  <c r="D98" i="1"/>
  <c r="D99" i="1"/>
  <c r="D101" i="1"/>
  <c r="D103" i="1"/>
  <c r="D108" i="1"/>
  <c r="D111" i="1"/>
  <c r="D113" i="1"/>
  <c r="D115" i="1"/>
  <c r="D117" i="1"/>
  <c r="D119" i="1"/>
  <c r="D120" i="1"/>
  <c r="D122" i="1"/>
  <c r="D123" i="1"/>
  <c r="D125" i="1"/>
  <c r="D126" i="1"/>
  <c r="D127" i="1"/>
  <c r="D128" i="1"/>
  <c r="D129" i="1"/>
  <c r="D130" i="1"/>
  <c r="D131" i="1"/>
  <c r="D133" i="1"/>
  <c r="D135" i="1"/>
  <c r="D138" i="1"/>
  <c r="D139" i="1"/>
  <c r="D140" i="1"/>
  <c r="D141" i="1"/>
  <c r="D142" i="1"/>
  <c r="D145" i="1"/>
  <c r="D146" i="1"/>
  <c r="D147" i="1"/>
  <c r="D149" i="1"/>
  <c r="D152" i="1"/>
  <c r="D157" i="1"/>
  <c r="D158" i="1"/>
  <c r="D159" i="1"/>
  <c r="D160" i="1"/>
  <c r="D161" i="1"/>
  <c r="D162" i="1"/>
  <c r="D163" i="1"/>
  <c r="D164" i="1"/>
  <c r="D165" i="1"/>
  <c r="D166" i="1"/>
  <c r="D167" i="1"/>
  <c r="D169" i="1"/>
  <c r="D170" i="1"/>
  <c r="D171" i="1"/>
  <c r="D174" i="1"/>
  <c r="D175" i="1"/>
  <c r="D177" i="1"/>
  <c r="D178" i="1"/>
  <c r="D180" i="1"/>
  <c r="D182" i="1"/>
  <c r="D183" i="1"/>
  <c r="D184" i="1"/>
  <c r="D185" i="1"/>
  <c r="D186" i="1"/>
  <c r="D187" i="1"/>
  <c r="D188" i="1"/>
  <c r="D189" i="1"/>
  <c r="D190" i="1"/>
  <c r="D191" i="1"/>
  <c r="D193" i="1"/>
  <c r="D195" i="1"/>
  <c r="D196" i="1"/>
  <c r="D3" i="1"/>
  <c r="H2" i="1"/>
  <c r="C197" i="1"/>
  <c r="D197" i="1" l="1"/>
</calcChain>
</file>

<file path=xl/sharedStrings.xml><?xml version="1.0" encoding="utf-8"?>
<sst xmlns="http://schemas.openxmlformats.org/spreadsheetml/2006/main" count="215" uniqueCount="206">
  <si>
    <t>Town or City</t>
  </si>
  <si>
    <t>Weston</t>
  </si>
  <si>
    <t>Montpelier</t>
  </si>
  <si>
    <t>Washington</t>
  </si>
  <si>
    <t>Goshen</t>
  </si>
  <si>
    <t>Westminster</t>
  </si>
  <si>
    <t>West Windsor</t>
  </si>
  <si>
    <t>Landgrove</t>
  </si>
  <si>
    <t>Leicester</t>
  </si>
  <si>
    <t>Belvidere</t>
  </si>
  <si>
    <t>Guildhall</t>
  </si>
  <si>
    <t>Peru</t>
  </si>
  <si>
    <t>Stockbridge</t>
  </si>
  <si>
    <t>Marshfield</t>
  </si>
  <si>
    <t>Huntington</t>
  </si>
  <si>
    <t>Royalton</t>
  </si>
  <si>
    <t>Halifax</t>
  </si>
  <si>
    <t>Wardsboro</t>
  </si>
  <si>
    <t>Mendon</t>
  </si>
  <si>
    <t>Brattleboro</t>
  </si>
  <si>
    <t>Middletown Springs</t>
  </si>
  <si>
    <t>Alburgh</t>
  </si>
  <si>
    <t>Bridport</t>
  </si>
  <si>
    <t>Pomfret</t>
  </si>
  <si>
    <t>Williston</t>
  </si>
  <si>
    <t>Grafton</t>
  </si>
  <si>
    <t>Athens</t>
  </si>
  <si>
    <t>Stowe</t>
  </si>
  <si>
    <t>Johnson</t>
  </si>
  <si>
    <t>Groton</t>
  </si>
  <si>
    <t>Barnet</t>
  </si>
  <si>
    <t>Corinth</t>
  </si>
  <si>
    <t>Tinmouth</t>
  </si>
  <si>
    <t>Bolton</t>
  </si>
  <si>
    <t>Londonderry</t>
  </si>
  <si>
    <t>Walden</t>
  </si>
  <si>
    <t>Fairlee</t>
  </si>
  <si>
    <t>Bloomfield</t>
  </si>
  <si>
    <t>Waterford</t>
  </si>
  <si>
    <t>Derby</t>
  </si>
  <si>
    <t>Jamaica</t>
  </si>
  <si>
    <t>Fairfield</t>
  </si>
  <si>
    <t>Brunswick</t>
  </si>
  <si>
    <t>South Hero</t>
  </si>
  <si>
    <t>New Haven</t>
  </si>
  <si>
    <t>Fair Haven</t>
  </si>
  <si>
    <t>East Montpelier</t>
  </si>
  <si>
    <t>Middlesex</t>
  </si>
  <si>
    <t>Randolph</t>
  </si>
  <si>
    <t>Newport City</t>
  </si>
  <si>
    <t>Danville</t>
  </si>
  <si>
    <t>Brownington</t>
  </si>
  <si>
    <t>Bradford</t>
  </si>
  <si>
    <t>Georgia</t>
  </si>
  <si>
    <t>Waitsfield</t>
  </si>
  <si>
    <t>Granville</t>
  </si>
  <si>
    <t>Orwell</t>
  </si>
  <si>
    <t>Windham</t>
  </si>
  <si>
    <t>Braintree</t>
  </si>
  <si>
    <t>Thetford</t>
  </si>
  <si>
    <t>Concord</t>
  </si>
  <si>
    <t>Cambridge</t>
  </si>
  <si>
    <t>Holland</t>
  </si>
  <si>
    <t>Norton</t>
  </si>
  <si>
    <t>Lowell</t>
  </si>
  <si>
    <t>Granby</t>
  </si>
  <si>
    <t>Waterville</t>
  </si>
  <si>
    <t>Bakersfield</t>
  </si>
  <si>
    <t>Charleston</t>
  </si>
  <si>
    <t>Mount Holly</t>
  </si>
  <si>
    <t>Chester</t>
  </si>
  <si>
    <t>Monkton</t>
  </si>
  <si>
    <t>North Hero</t>
  </si>
  <si>
    <t>Bristol</t>
  </si>
  <si>
    <t>Fletcher</t>
  </si>
  <si>
    <t>Montgomery</t>
  </si>
  <si>
    <t>Readsboro</t>
  </si>
  <si>
    <t>Lunenburg</t>
  </si>
  <si>
    <t>Winhall</t>
  </si>
  <si>
    <t>Coventry</t>
  </si>
  <si>
    <t>Lemington</t>
  </si>
  <si>
    <t>Wallingford</t>
  </si>
  <si>
    <t>Peacham</t>
  </si>
  <si>
    <t>Ryegate</t>
  </si>
  <si>
    <t>Jay</t>
  </si>
  <si>
    <t>Rochester</t>
  </si>
  <si>
    <t>Ira</t>
  </si>
  <si>
    <t>Jericho</t>
  </si>
  <si>
    <t>Marlboro</t>
  </si>
  <si>
    <t>Glover</t>
  </si>
  <si>
    <t>Andover</t>
  </si>
  <si>
    <t>St. Albans City</t>
  </si>
  <si>
    <t>Newport Town</t>
  </si>
  <si>
    <t>Richford</t>
  </si>
  <si>
    <t>Middlebury</t>
  </si>
  <si>
    <t>Calais</t>
  </si>
  <si>
    <t>Proctor</t>
  </si>
  <si>
    <t>Underhill</t>
  </si>
  <si>
    <t>Woodstock</t>
  </si>
  <si>
    <t>Weathersfield</t>
  </si>
  <si>
    <t>Highgate</t>
  </si>
  <si>
    <t>Isle La Motte</t>
  </si>
  <si>
    <t>Lyndon</t>
  </si>
  <si>
    <t>Pittsfield</t>
  </si>
  <si>
    <t>Townshend</t>
  </si>
  <si>
    <t>Richmond</t>
  </si>
  <si>
    <t>Williamstown</t>
  </si>
  <si>
    <t>West Fairlee</t>
  </si>
  <si>
    <t>Milton</t>
  </si>
  <si>
    <t>Newark</t>
  </si>
  <si>
    <t>Rockingham</t>
  </si>
  <si>
    <t>Plymouth</t>
  </si>
  <si>
    <t>Springfield</t>
  </si>
  <si>
    <t>Tunbridge</t>
  </si>
  <si>
    <t>Warren</t>
  </si>
  <si>
    <t>Starksboro</t>
  </si>
  <si>
    <t>Manchester</t>
  </si>
  <si>
    <t>Norwich</t>
  </si>
  <si>
    <t>Clarendon</t>
  </si>
  <si>
    <t>Stratton</t>
  </si>
  <si>
    <t>Chelsea</t>
  </si>
  <si>
    <t>Westfield</t>
  </si>
  <si>
    <t>Troy</t>
  </si>
  <si>
    <t>Berlin</t>
  </si>
  <si>
    <t>Irasburg</t>
  </si>
  <si>
    <t>Pawlet</t>
  </si>
  <si>
    <t>Bridgewater</t>
  </si>
  <si>
    <t>Hinesburg</t>
  </si>
  <si>
    <t>Windsor</t>
  </si>
  <si>
    <t>Fayston</t>
  </si>
  <si>
    <t>Northfield</t>
  </si>
  <si>
    <t>Cabot</t>
  </si>
  <si>
    <t>Hartland</t>
  </si>
  <si>
    <t>Canaan</t>
  </si>
  <si>
    <t>Duxbury</t>
  </si>
  <si>
    <t>Westford</t>
  </si>
  <si>
    <t>Barton</t>
  </si>
  <si>
    <t>Barre City</t>
  </si>
  <si>
    <t>For floor meeting towns: what was the highest vote count? (your best estimate)</t>
  </si>
  <si>
    <t>For Australian ballot towns: how many people voted (include absentee ballot)?</t>
  </si>
  <si>
    <t>For Australian ballot towns: how many voted by absentee ballot?</t>
  </si>
  <si>
    <t>Kirby</t>
  </si>
  <si>
    <t>Franklin</t>
  </si>
  <si>
    <t>Orange</t>
  </si>
  <si>
    <t>Killington</t>
  </si>
  <si>
    <t>Mount Tabor</t>
  </si>
  <si>
    <t>Reading</t>
  </si>
  <si>
    <t>Waterbury</t>
  </si>
  <si>
    <t>Berkshire</t>
  </si>
  <si>
    <t>Arlington</t>
  </si>
  <si>
    <t>Brandon</t>
  </si>
  <si>
    <t>Cavendish</t>
  </si>
  <si>
    <t>Winooski</t>
  </si>
  <si>
    <t>Bethel</t>
  </si>
  <si>
    <t>Dorset</t>
  </si>
  <si>
    <t>Dummerston</t>
  </si>
  <si>
    <t>East Haven</t>
  </si>
  <si>
    <t>Fairfax</t>
  </si>
  <si>
    <t>Moretown</t>
  </si>
  <si>
    <t>Pittsford</t>
  </si>
  <si>
    <t>Plainfield</t>
  </si>
  <si>
    <t>Poultney</t>
  </si>
  <si>
    <t>Searsburg</t>
  </si>
  <si>
    <t>Shaftsbury</t>
  </si>
  <si>
    <t>Sharon</t>
  </si>
  <si>
    <t>Shrewsbury</t>
  </si>
  <si>
    <t>St. Johnsbury</t>
  </si>
  <si>
    <t>Stannard</t>
  </si>
  <si>
    <t>Topsham</t>
  </si>
  <si>
    <t>Wheelock</t>
  </si>
  <si>
    <t>Wilmington</t>
  </si>
  <si>
    <t>Roxbury</t>
  </si>
  <si>
    <t>Rupert</t>
  </si>
  <si>
    <t>Maidstone</t>
  </si>
  <si>
    <t>Addison</t>
  </si>
  <si>
    <t>How many voters were on your TM checklist 3/3/15?</t>
  </si>
  <si>
    <t>Barnard</t>
  </si>
  <si>
    <t>Bennington 2-1 &amp; 2-2</t>
  </si>
  <si>
    <t>Benson</t>
  </si>
  <si>
    <t>Brighton</t>
  </si>
  <si>
    <t>Brookfield</t>
  </si>
  <si>
    <t>Brookline</t>
  </si>
  <si>
    <t>Burke</t>
  </si>
  <si>
    <t>Craftsbury</t>
  </si>
  <si>
    <t>Eden</t>
  </si>
  <si>
    <t>Ferrisburgh</t>
  </si>
  <si>
    <t>Guilford</t>
  </si>
  <si>
    <t>Ludlow</t>
  </si>
  <si>
    <t>Morgan</t>
  </si>
  <si>
    <t>Rutland Town</t>
  </si>
  <si>
    <t>Sheffield</t>
  </si>
  <si>
    <t>St Albans Town</t>
  </si>
  <si>
    <t>Vershire</t>
  </si>
  <si>
    <t>West Rutland</t>
  </si>
  <si>
    <t>Albany</t>
  </si>
  <si>
    <t>Charlotte</t>
  </si>
  <si>
    <t>Enosburgh</t>
  </si>
  <si>
    <t>Wolcott</t>
  </si>
  <si>
    <t xml:space="preserve">    </t>
  </si>
  <si>
    <t>Burlington - Wards 1-8</t>
  </si>
  <si>
    <t>South Burlington, Chittenden, 7-1 - 7-4</t>
  </si>
  <si>
    <t>Floor Vote Turnout (%)</t>
  </si>
  <si>
    <t>Australian ballot Turnout (%)</t>
  </si>
  <si>
    <t>Absentee ballot Turnout (%)</t>
  </si>
  <si>
    <t>FLOOR VOTE TOTAL</t>
  </si>
  <si>
    <t>AUSTRALIAN BALLOT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</si>
</sst>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0" fontId="1" fillId="3" borderId="2" xfId="0" applyNumberFormat="1" applyFont="1" applyFill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10" fontId="1" fillId="4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  <color rgb="FF3399FF"/>
      <color rgb="FF00CC66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9" sqref="G199"/>
    </sheetView>
  </sheetViews>
  <sheetFormatPr defaultRowHeight="15" x14ac:dyDescent="0.25"/>
  <cols>
    <col min="1" max="1" width="23.140625" customWidth="1"/>
    <col min="2" max="2" width="26.5703125" customWidth="1"/>
    <col min="3" max="4" width="24.28515625" customWidth="1"/>
    <col min="5" max="6" width="26.85546875" customWidth="1"/>
    <col min="7" max="7" width="26.42578125" customWidth="1"/>
    <col min="8" max="8" width="21.5703125" customWidth="1"/>
  </cols>
  <sheetData>
    <row r="1" spans="1:8" ht="93.75" x14ac:dyDescent="0.25">
      <c r="A1" s="1" t="s">
        <v>0</v>
      </c>
      <c r="B1" s="1" t="s">
        <v>175</v>
      </c>
      <c r="C1" s="1" t="s">
        <v>138</v>
      </c>
      <c r="D1" s="1" t="s">
        <v>201</v>
      </c>
      <c r="E1" s="1" t="s">
        <v>139</v>
      </c>
      <c r="F1" s="1" t="s">
        <v>202</v>
      </c>
      <c r="G1" s="1" t="s">
        <v>140</v>
      </c>
      <c r="H1" s="1" t="s">
        <v>203</v>
      </c>
    </row>
    <row r="2" spans="1:8" ht="20.100000000000001" customHeight="1" x14ac:dyDescent="0.25">
      <c r="A2" s="2" t="s">
        <v>174</v>
      </c>
      <c r="B2" s="2">
        <v>1010</v>
      </c>
      <c r="C2" s="2"/>
      <c r="D2" s="2"/>
      <c r="E2" s="2">
        <v>264</v>
      </c>
      <c r="F2" s="3">
        <f>SUM(E2/B2)</f>
        <v>0.2613861386138614</v>
      </c>
      <c r="G2" s="2">
        <v>16</v>
      </c>
      <c r="H2" s="3">
        <f>SUM(G2/E2)</f>
        <v>6.0606060606060608E-2</v>
      </c>
    </row>
    <row r="3" spans="1:8" ht="20.100000000000001" customHeight="1" x14ac:dyDescent="0.25">
      <c r="A3" s="2" t="s">
        <v>194</v>
      </c>
      <c r="B3" s="2">
        <v>622</v>
      </c>
      <c r="C3" s="2">
        <v>92</v>
      </c>
      <c r="D3" s="3">
        <f>SUM(C3/B3)</f>
        <v>0.14790996784565916</v>
      </c>
      <c r="E3" s="2"/>
      <c r="F3" s="3"/>
      <c r="G3" s="2"/>
      <c r="H3" s="3"/>
    </row>
    <row r="4" spans="1:8" ht="20.100000000000001" customHeight="1" x14ac:dyDescent="0.25">
      <c r="A4" s="2" t="s">
        <v>21</v>
      </c>
      <c r="B4" s="2">
        <v>1486</v>
      </c>
      <c r="C4" s="2"/>
      <c r="D4" s="3"/>
      <c r="E4" s="2">
        <v>455</v>
      </c>
      <c r="F4" s="3">
        <f>SUM(E4/B4)</f>
        <v>0.30619111709286678</v>
      </c>
      <c r="G4" s="2">
        <v>73</v>
      </c>
      <c r="H4" s="3">
        <f>SUM(G4/E4)</f>
        <v>0.16043956043956045</v>
      </c>
    </row>
    <row r="5" spans="1:8" ht="20.100000000000001" customHeight="1" x14ac:dyDescent="0.25">
      <c r="A5" s="2" t="s">
        <v>90</v>
      </c>
      <c r="B5" s="2">
        <v>390</v>
      </c>
      <c r="C5" s="2">
        <v>69</v>
      </c>
      <c r="D5" s="3">
        <f>SUM(C5/B5)</f>
        <v>0.17692307692307693</v>
      </c>
      <c r="E5" s="2"/>
      <c r="F5" s="3"/>
      <c r="G5" s="2"/>
      <c r="H5" s="3"/>
    </row>
    <row r="6" spans="1:8" ht="20.100000000000001" customHeight="1" x14ac:dyDescent="0.25">
      <c r="A6" s="2" t="s">
        <v>149</v>
      </c>
      <c r="B6" s="2">
        <v>1743</v>
      </c>
      <c r="C6" s="2">
        <v>80</v>
      </c>
      <c r="D6" s="3">
        <f>SUM(C6/B6)</f>
        <v>4.5897877223178431E-2</v>
      </c>
      <c r="E6" s="2">
        <v>330</v>
      </c>
      <c r="F6" s="3">
        <f>SUM(E6/B6)</f>
        <v>0.18932874354561102</v>
      </c>
      <c r="G6" s="2">
        <v>35</v>
      </c>
      <c r="H6" s="3">
        <f>SUM(G6/E6)</f>
        <v>0.10606060606060606</v>
      </c>
    </row>
    <row r="7" spans="1:8" ht="20.100000000000001" customHeight="1" x14ac:dyDescent="0.25">
      <c r="A7" s="2" t="s">
        <v>26</v>
      </c>
      <c r="B7" s="2">
        <v>203</v>
      </c>
      <c r="C7" s="2">
        <v>59</v>
      </c>
      <c r="D7" s="3">
        <f>SUM(C7/B7)</f>
        <v>0.29064039408866993</v>
      </c>
      <c r="E7" s="2">
        <v>74</v>
      </c>
      <c r="F7" s="3">
        <f>SUM(E7/B7)</f>
        <v>0.3645320197044335</v>
      </c>
      <c r="G7" s="2">
        <v>7</v>
      </c>
      <c r="H7" s="3">
        <f>SUM(G7/E7)</f>
        <v>9.45945945945946E-2</v>
      </c>
    </row>
    <row r="8" spans="1:8" ht="20.100000000000001" customHeight="1" x14ac:dyDescent="0.25">
      <c r="A8" s="2" t="s">
        <v>67</v>
      </c>
      <c r="B8" s="2">
        <v>920</v>
      </c>
      <c r="C8" s="2">
        <v>67</v>
      </c>
      <c r="D8" s="3">
        <f>SUM(C8/B8)</f>
        <v>7.2826086956521735E-2</v>
      </c>
      <c r="E8" s="2">
        <v>135</v>
      </c>
      <c r="F8" s="3">
        <f>SUM(E8/B8)</f>
        <v>0.14673913043478262</v>
      </c>
      <c r="G8" s="2">
        <v>4</v>
      </c>
      <c r="H8" s="3">
        <f>SUM(G8/E8)</f>
        <v>2.9629629629629631E-2</v>
      </c>
    </row>
    <row r="9" spans="1:8" ht="20.100000000000001" customHeight="1" x14ac:dyDescent="0.25">
      <c r="A9" s="2" t="s">
        <v>176</v>
      </c>
      <c r="B9" s="2">
        <v>656</v>
      </c>
      <c r="C9" s="2">
        <v>148</v>
      </c>
      <c r="D9" s="3">
        <f>SUM(C9/B9)</f>
        <v>0.22560975609756098</v>
      </c>
      <c r="E9" s="2"/>
      <c r="F9" s="3"/>
      <c r="G9" s="2"/>
      <c r="H9" s="3"/>
    </row>
    <row r="10" spans="1:8" ht="20.100000000000001" customHeight="1" x14ac:dyDescent="0.25">
      <c r="A10" s="2" t="s">
        <v>30</v>
      </c>
      <c r="B10" s="2">
        <v>1286</v>
      </c>
      <c r="C10" s="2">
        <v>150</v>
      </c>
      <c r="D10" s="3">
        <f>SUM(C10/B10)</f>
        <v>0.1166407465007776</v>
      </c>
      <c r="E10" s="2">
        <v>119</v>
      </c>
      <c r="F10" s="3">
        <f>SUM(E10/B10)</f>
        <v>9.253499222395023E-2</v>
      </c>
      <c r="G10" s="2"/>
      <c r="H10" s="3"/>
    </row>
    <row r="11" spans="1:8" ht="20.100000000000001" customHeight="1" x14ac:dyDescent="0.25">
      <c r="A11" s="2" t="s">
        <v>137</v>
      </c>
      <c r="B11" s="2">
        <v>4595</v>
      </c>
      <c r="C11" s="2"/>
      <c r="D11" s="3"/>
      <c r="E11" s="2">
        <v>1054</v>
      </c>
      <c r="F11" s="3">
        <f>SUM(E11/B11)</f>
        <v>0.229379760609358</v>
      </c>
      <c r="G11" s="2">
        <v>154</v>
      </c>
      <c r="H11" s="3">
        <f>SUM(G11/E11)</f>
        <v>0.14611005692599621</v>
      </c>
    </row>
    <row r="12" spans="1:8" ht="20.100000000000001" customHeight="1" x14ac:dyDescent="0.25">
      <c r="A12" s="2" t="s">
        <v>136</v>
      </c>
      <c r="B12" s="2">
        <v>1711</v>
      </c>
      <c r="C12" s="2"/>
      <c r="D12" s="3"/>
      <c r="E12" s="2">
        <v>141</v>
      </c>
      <c r="F12" s="3">
        <f>SUM(E12/B12)</f>
        <v>8.2407948568088835E-2</v>
      </c>
      <c r="G12" s="2">
        <v>25</v>
      </c>
      <c r="H12" s="3">
        <f>SUM(G12/E12)</f>
        <v>0.1773049645390071</v>
      </c>
    </row>
    <row r="13" spans="1:8" ht="20.100000000000001" customHeight="1" x14ac:dyDescent="0.25">
      <c r="A13" s="2" t="s">
        <v>9</v>
      </c>
      <c r="B13" s="2">
        <v>207</v>
      </c>
      <c r="C13" s="2">
        <v>27</v>
      </c>
      <c r="D13" s="3">
        <f>SUM(C13/B13)</f>
        <v>0.13043478260869565</v>
      </c>
      <c r="E13" s="2"/>
      <c r="F13" s="3"/>
      <c r="G13" s="2"/>
      <c r="H13" s="3"/>
    </row>
    <row r="14" spans="1:8" ht="20.100000000000001" customHeight="1" x14ac:dyDescent="0.25">
      <c r="A14" s="2" t="s">
        <v>177</v>
      </c>
      <c r="B14" s="2">
        <v>8236</v>
      </c>
      <c r="C14" s="2"/>
      <c r="D14" s="3"/>
      <c r="E14" s="2">
        <v>2720</v>
      </c>
      <c r="F14" s="3">
        <f>SUM(E14/B14)</f>
        <v>0.33025740650801361</v>
      </c>
      <c r="G14" s="2">
        <v>354</v>
      </c>
      <c r="H14" s="3">
        <f>SUM(G14/E14)</f>
        <v>0.13014705882352942</v>
      </c>
    </row>
    <row r="15" spans="1:8" ht="20.100000000000001" customHeight="1" x14ac:dyDescent="0.25">
      <c r="A15" s="2" t="s">
        <v>178</v>
      </c>
      <c r="B15" s="2">
        <v>677</v>
      </c>
      <c r="C15" s="2">
        <v>50</v>
      </c>
      <c r="D15" s="3">
        <f>SUM(C15/B15)</f>
        <v>7.3855243722304287E-2</v>
      </c>
      <c r="E15" s="2">
        <v>153</v>
      </c>
      <c r="F15" s="3">
        <f>SUM(E15/B15)</f>
        <v>0.22599704579025109</v>
      </c>
      <c r="G15" s="2">
        <v>19</v>
      </c>
      <c r="H15" s="3">
        <f>SUM(G15/E15)</f>
        <v>0.12418300653594772</v>
      </c>
    </row>
    <row r="16" spans="1:8" ht="20.100000000000001" customHeight="1" x14ac:dyDescent="0.25">
      <c r="A16" s="2" t="s">
        <v>148</v>
      </c>
      <c r="B16" s="2">
        <v>981</v>
      </c>
      <c r="C16" s="2"/>
      <c r="D16" s="3"/>
      <c r="E16" s="2">
        <v>200</v>
      </c>
      <c r="F16" s="3">
        <f>SUM(E16/B16)</f>
        <v>0.2038735983690112</v>
      </c>
      <c r="G16" s="2">
        <v>42</v>
      </c>
      <c r="H16" s="3">
        <f>SUM(G16/E16)</f>
        <v>0.21</v>
      </c>
    </row>
    <row r="17" spans="1:8" ht="20.100000000000001" customHeight="1" x14ac:dyDescent="0.25">
      <c r="A17" s="2" t="s">
        <v>123</v>
      </c>
      <c r="B17" s="2">
        <v>1859</v>
      </c>
      <c r="C17" s="2"/>
      <c r="D17" s="3"/>
      <c r="E17" s="2">
        <v>412</v>
      </c>
      <c r="F17" s="3">
        <f>SUM(E17/B17)</f>
        <v>0.22162452931683702</v>
      </c>
      <c r="G17" s="2">
        <v>56</v>
      </c>
      <c r="H17" s="3">
        <f>SUM(G17/E17)</f>
        <v>0.13592233009708737</v>
      </c>
    </row>
    <row r="18" spans="1:8" ht="20.100000000000001" customHeight="1" x14ac:dyDescent="0.25">
      <c r="A18" s="2" t="s">
        <v>153</v>
      </c>
      <c r="B18" s="2">
        <v>1325</v>
      </c>
      <c r="C18" s="2">
        <v>140</v>
      </c>
      <c r="D18" s="3">
        <f>SUM(C18/B18)</f>
        <v>0.10566037735849057</v>
      </c>
      <c r="E18" s="2"/>
      <c r="F18" s="3"/>
      <c r="G18" s="2"/>
      <c r="H18" s="3"/>
    </row>
    <row r="19" spans="1:8" ht="20.100000000000001" customHeight="1" x14ac:dyDescent="0.25">
      <c r="A19" s="2" t="s">
        <v>37</v>
      </c>
      <c r="B19" s="2">
        <v>22</v>
      </c>
      <c r="C19" s="2">
        <v>22</v>
      </c>
      <c r="D19" s="3">
        <f>SUM(C19/B19)</f>
        <v>1</v>
      </c>
      <c r="E19" s="2"/>
      <c r="F19" s="3"/>
      <c r="G19" s="2"/>
      <c r="H19" s="3"/>
    </row>
    <row r="20" spans="1:8" ht="20.100000000000001" customHeight="1" x14ac:dyDescent="0.25">
      <c r="A20" s="2" t="s">
        <v>33</v>
      </c>
      <c r="B20" s="2">
        <v>930</v>
      </c>
      <c r="C20" s="2">
        <v>70</v>
      </c>
      <c r="D20" s="3">
        <f>SUM(C20/B20)</f>
        <v>7.5268817204301078E-2</v>
      </c>
      <c r="E20" s="2">
        <v>181</v>
      </c>
      <c r="F20" s="3">
        <f>SUM(E20/B20)</f>
        <v>0.19462365591397848</v>
      </c>
      <c r="G20" s="2">
        <v>11</v>
      </c>
      <c r="H20" s="3">
        <f>SUM(G20/E20)</f>
        <v>6.0773480662983423E-2</v>
      </c>
    </row>
    <row r="21" spans="1:8" ht="20.100000000000001" customHeight="1" x14ac:dyDescent="0.25">
      <c r="A21" s="2" t="s">
        <v>52</v>
      </c>
      <c r="B21" s="2">
        <v>1524</v>
      </c>
      <c r="C21" s="2">
        <v>104</v>
      </c>
      <c r="D21" s="3">
        <f>SUM(C21/B21)</f>
        <v>6.8241469816272965E-2</v>
      </c>
      <c r="E21" s="2"/>
      <c r="F21" s="3"/>
      <c r="G21" s="2"/>
      <c r="H21" s="3"/>
    </row>
    <row r="22" spans="1:8" ht="20.100000000000001" customHeight="1" x14ac:dyDescent="0.25">
      <c r="A22" s="2" t="s">
        <v>58</v>
      </c>
      <c r="B22" s="2">
        <v>922</v>
      </c>
      <c r="C22" s="2">
        <v>80</v>
      </c>
      <c r="D22" s="3">
        <f>SUM(C22/B22)</f>
        <v>8.6767895878524945E-2</v>
      </c>
      <c r="E22" s="2"/>
      <c r="F22" s="3"/>
      <c r="G22" s="2"/>
      <c r="H22" s="3"/>
    </row>
    <row r="23" spans="1:8" ht="20.100000000000001" customHeight="1" x14ac:dyDescent="0.25">
      <c r="A23" s="2" t="s">
        <v>150</v>
      </c>
      <c r="B23" s="2">
        <v>2851</v>
      </c>
      <c r="C23" s="2"/>
      <c r="D23" s="3"/>
      <c r="E23" s="2">
        <v>1062</v>
      </c>
      <c r="F23" s="3">
        <f>SUM(E23/B23)</f>
        <v>0.37250087688530342</v>
      </c>
      <c r="G23" s="2">
        <v>89</v>
      </c>
      <c r="H23" s="3">
        <f>SUM(G23/E23)</f>
        <v>8.3804143126177025E-2</v>
      </c>
    </row>
    <row r="24" spans="1:8" ht="20.100000000000001" customHeight="1" x14ac:dyDescent="0.25">
      <c r="A24" s="2" t="s">
        <v>19</v>
      </c>
      <c r="B24" s="2">
        <v>7546</v>
      </c>
      <c r="C24" s="2"/>
      <c r="D24" s="3"/>
      <c r="E24" s="2">
        <v>1109</v>
      </c>
      <c r="F24" s="3">
        <f>SUM(E24/B24)</f>
        <v>0.14696527961834085</v>
      </c>
      <c r="G24" s="2">
        <v>273</v>
      </c>
      <c r="H24" s="3">
        <f>SUM(G24/E24)</f>
        <v>0.24616771866546439</v>
      </c>
    </row>
    <row r="25" spans="1:8" ht="20.100000000000001" customHeight="1" x14ac:dyDescent="0.25">
      <c r="A25" s="2" t="s">
        <v>126</v>
      </c>
      <c r="B25" s="2">
        <v>627</v>
      </c>
      <c r="C25" s="2">
        <v>122</v>
      </c>
      <c r="D25" s="3">
        <f>SUM(C25/B25)</f>
        <v>0.19457735247208932</v>
      </c>
      <c r="E25" s="2"/>
      <c r="F25" s="3"/>
      <c r="G25" s="2"/>
      <c r="H25" s="3"/>
    </row>
    <row r="26" spans="1:8" ht="20.100000000000001" customHeight="1" x14ac:dyDescent="0.25">
      <c r="A26" s="2" t="s">
        <v>22</v>
      </c>
      <c r="B26" s="2">
        <v>793</v>
      </c>
      <c r="C26" s="2"/>
      <c r="D26" s="3"/>
      <c r="E26" s="2">
        <v>220</v>
      </c>
      <c r="F26" s="3">
        <f>SUM(E26/B26)</f>
        <v>0.27742749054224464</v>
      </c>
      <c r="G26" s="2">
        <v>14</v>
      </c>
      <c r="H26" s="3">
        <f>SUM(G26/E26)</f>
        <v>6.363636363636363E-2</v>
      </c>
    </row>
    <row r="27" spans="1:8" ht="20.100000000000001" customHeight="1" x14ac:dyDescent="0.25">
      <c r="A27" s="2" t="s">
        <v>179</v>
      </c>
      <c r="B27" s="2">
        <v>837</v>
      </c>
      <c r="C27" s="2"/>
      <c r="D27" s="3"/>
      <c r="E27" s="2">
        <v>182</v>
      </c>
      <c r="F27" s="3">
        <f>SUM(E27/B27)</f>
        <v>0.21744324970131421</v>
      </c>
      <c r="G27" s="2">
        <v>14</v>
      </c>
      <c r="H27" s="3">
        <f>SUM(G27/E27)</f>
        <v>7.6923076923076927E-2</v>
      </c>
    </row>
    <row r="28" spans="1:8" ht="20.100000000000001" customHeight="1" x14ac:dyDescent="0.25">
      <c r="A28" s="2" t="s">
        <v>73</v>
      </c>
      <c r="B28" s="2">
        <v>2382</v>
      </c>
      <c r="C28" s="2">
        <v>170</v>
      </c>
      <c r="D28" s="3">
        <f>SUM(C28/B28)</f>
        <v>7.1368597816960533E-2</v>
      </c>
      <c r="E28" s="2">
        <v>668</v>
      </c>
      <c r="F28" s="3">
        <f>SUM(E28/B28)</f>
        <v>0.28043660789252728</v>
      </c>
      <c r="G28" s="2">
        <v>38</v>
      </c>
      <c r="H28" s="3">
        <f>SUM(G28/E28)</f>
        <v>5.6886227544910177E-2</v>
      </c>
    </row>
    <row r="29" spans="1:8" ht="20.100000000000001" customHeight="1" x14ac:dyDescent="0.25">
      <c r="A29" s="2" t="s">
        <v>180</v>
      </c>
      <c r="B29" s="2">
        <v>932</v>
      </c>
      <c r="C29" s="2"/>
      <c r="D29" s="3"/>
      <c r="E29" s="2">
        <v>183</v>
      </c>
      <c r="F29" s="3">
        <f>SUM(E29/B29)</f>
        <v>0.1963519313304721</v>
      </c>
      <c r="G29" s="2">
        <v>10</v>
      </c>
      <c r="H29" s="3">
        <f>SUM(G29/E29)</f>
        <v>5.4644808743169397E-2</v>
      </c>
    </row>
    <row r="30" spans="1:8" ht="20.100000000000001" customHeight="1" x14ac:dyDescent="0.25">
      <c r="A30" s="2" t="s">
        <v>181</v>
      </c>
      <c r="B30" s="2">
        <v>361</v>
      </c>
      <c r="C30" s="2"/>
      <c r="D30" s="3"/>
      <c r="E30" s="2"/>
      <c r="F30" s="3"/>
      <c r="G30" s="2"/>
      <c r="H30" s="3"/>
    </row>
    <row r="31" spans="1:8" ht="20.100000000000001" customHeight="1" x14ac:dyDescent="0.25">
      <c r="A31" s="2" t="s">
        <v>51</v>
      </c>
      <c r="B31" s="2">
        <v>681</v>
      </c>
      <c r="C31" s="2">
        <v>128</v>
      </c>
      <c r="D31" s="3">
        <f>SUM(C31/B31)</f>
        <v>0.18795888399412627</v>
      </c>
      <c r="E31" s="2"/>
      <c r="F31" s="3"/>
      <c r="G31" s="2"/>
      <c r="H31" s="3"/>
    </row>
    <row r="32" spans="1:8" ht="20.100000000000001" customHeight="1" x14ac:dyDescent="0.25">
      <c r="A32" s="2" t="s">
        <v>42</v>
      </c>
      <c r="B32" s="2">
        <v>73</v>
      </c>
      <c r="C32" s="2">
        <v>21</v>
      </c>
      <c r="D32" s="3">
        <f>SUM(C32/B32)</f>
        <v>0.28767123287671231</v>
      </c>
      <c r="E32" s="2"/>
      <c r="F32" s="3"/>
      <c r="G32" s="2"/>
      <c r="H32" s="3"/>
    </row>
    <row r="33" spans="1:8" ht="20.100000000000001" customHeight="1" x14ac:dyDescent="0.25">
      <c r="A33" s="2" t="s">
        <v>182</v>
      </c>
      <c r="B33" s="2">
        <v>1062</v>
      </c>
      <c r="C33" s="2"/>
      <c r="D33" s="3"/>
      <c r="E33" s="2">
        <v>230</v>
      </c>
      <c r="F33" s="3">
        <f>SUM(E33/B33)</f>
        <v>0.21657250470809794</v>
      </c>
      <c r="G33" s="2">
        <v>29</v>
      </c>
      <c r="H33" s="3">
        <f>SUM(G33/E33)</f>
        <v>0.12608695652173912</v>
      </c>
    </row>
    <row r="34" spans="1:8" ht="20.100000000000001" customHeight="1" x14ac:dyDescent="0.25">
      <c r="A34" s="2" t="s">
        <v>199</v>
      </c>
      <c r="B34" s="2">
        <v>31195</v>
      </c>
      <c r="C34" s="2"/>
      <c r="D34" s="3"/>
      <c r="E34" s="2">
        <v>7865</v>
      </c>
      <c r="F34" s="3">
        <f>SUM(E34/B34)</f>
        <v>0.25212373777849012</v>
      </c>
      <c r="G34" s="2">
        <v>1742</v>
      </c>
      <c r="H34" s="3">
        <f>SUM(G34/E34)</f>
        <v>0.22148760330578512</v>
      </c>
    </row>
    <row r="35" spans="1:8" ht="20.100000000000001" customHeight="1" x14ac:dyDescent="0.25">
      <c r="A35" s="2" t="s">
        <v>131</v>
      </c>
      <c r="B35" s="2">
        <v>1079</v>
      </c>
      <c r="C35" s="2">
        <v>110</v>
      </c>
      <c r="D35" s="3">
        <f>SUM(C35/B35)</f>
        <v>0.10194624652455977</v>
      </c>
      <c r="E35" s="2">
        <v>343</v>
      </c>
      <c r="F35" s="3">
        <f>SUM(E35/B35)</f>
        <v>0.31788693234476367</v>
      </c>
      <c r="G35" s="2">
        <v>27</v>
      </c>
      <c r="H35" s="3">
        <f>SUM(G35/E35)</f>
        <v>7.8717201166180764E-2</v>
      </c>
    </row>
    <row r="36" spans="1:8" ht="20.100000000000001" customHeight="1" x14ac:dyDescent="0.25">
      <c r="A36" s="2" t="s">
        <v>95</v>
      </c>
      <c r="B36" s="2">
        <v>1311</v>
      </c>
      <c r="C36" s="2">
        <v>200</v>
      </c>
      <c r="D36" s="3">
        <f>SUM(C36/B36)</f>
        <v>0.15255530129672007</v>
      </c>
      <c r="E36" s="2">
        <v>334</v>
      </c>
      <c r="F36" s="3">
        <f>SUM(E36/B36)</f>
        <v>0.25476735316552251</v>
      </c>
      <c r="G36" s="2">
        <v>46</v>
      </c>
      <c r="H36" s="3">
        <f>SUM(G36/E36)</f>
        <v>0.1377245508982036</v>
      </c>
    </row>
    <row r="37" spans="1:8" ht="20.100000000000001" customHeight="1" x14ac:dyDescent="0.25">
      <c r="A37" s="2" t="s">
        <v>61</v>
      </c>
      <c r="B37" s="2">
        <v>2896</v>
      </c>
      <c r="C37" s="2">
        <v>175</v>
      </c>
      <c r="D37" s="3">
        <f>SUM(C37/B37)</f>
        <v>6.0428176795580109E-2</v>
      </c>
      <c r="E37" s="2">
        <v>276</v>
      </c>
      <c r="F37" s="3">
        <f>SUM(E37/B37)</f>
        <v>9.5303867403314924E-2</v>
      </c>
      <c r="G37" s="2">
        <v>12</v>
      </c>
      <c r="H37" s="3">
        <f>SUM(G37/E37)</f>
        <v>4.3478260869565216E-2</v>
      </c>
    </row>
    <row r="38" spans="1:8" ht="20.100000000000001" customHeight="1" x14ac:dyDescent="0.25">
      <c r="A38" s="2" t="s">
        <v>133</v>
      </c>
      <c r="B38" s="2">
        <v>605</v>
      </c>
      <c r="C38" s="2"/>
      <c r="D38" s="3"/>
      <c r="E38" s="2">
        <v>80</v>
      </c>
      <c r="F38" s="3">
        <f>SUM(E38/B38)</f>
        <v>0.13223140495867769</v>
      </c>
      <c r="G38" s="2">
        <v>2</v>
      </c>
      <c r="H38" s="3">
        <f>SUM(G38/E38)</f>
        <v>2.5000000000000001E-2</v>
      </c>
    </row>
    <row r="39" spans="1:8" ht="20.100000000000001" customHeight="1" x14ac:dyDescent="0.25">
      <c r="A39" s="2" t="s">
        <v>151</v>
      </c>
      <c r="B39" s="2">
        <v>1059</v>
      </c>
      <c r="C39" s="2"/>
      <c r="D39" s="3"/>
      <c r="E39" s="2">
        <v>226</v>
      </c>
      <c r="F39" s="3">
        <f>SUM(E39/B39)</f>
        <v>0.21340887629839472</v>
      </c>
      <c r="G39" s="2">
        <v>12</v>
      </c>
      <c r="H39" s="3">
        <f>SUM(G39/E39)</f>
        <v>5.3097345132743362E-2</v>
      </c>
    </row>
    <row r="40" spans="1:8" ht="20.100000000000001" customHeight="1" x14ac:dyDescent="0.25">
      <c r="A40" s="2" t="s">
        <v>68</v>
      </c>
      <c r="B40" s="2">
        <v>658</v>
      </c>
      <c r="C40" s="2">
        <v>90</v>
      </c>
      <c r="D40" s="3">
        <f>SUM(C40/B40)</f>
        <v>0.13677811550151975</v>
      </c>
      <c r="E40" s="2">
        <v>61</v>
      </c>
      <c r="F40" s="3">
        <f>SUM(E40/B40)</f>
        <v>9.2705167173252279E-2</v>
      </c>
      <c r="G40" s="2">
        <v>1</v>
      </c>
      <c r="H40" s="3">
        <f>SUM(G40/E40)</f>
        <v>1.6393442622950821E-2</v>
      </c>
    </row>
    <row r="41" spans="1:8" ht="20.100000000000001" customHeight="1" x14ac:dyDescent="0.25">
      <c r="A41" s="2" t="s">
        <v>195</v>
      </c>
      <c r="B41" s="2">
        <v>3195</v>
      </c>
      <c r="C41" s="2">
        <v>175</v>
      </c>
      <c r="D41" s="3">
        <f>SUM(C41/B41)</f>
        <v>5.4773082942097026E-2</v>
      </c>
      <c r="E41" s="2">
        <v>1165</v>
      </c>
      <c r="F41" s="3">
        <f>SUM(E41/B41)</f>
        <v>0.36463223787167448</v>
      </c>
      <c r="G41" s="2">
        <v>155</v>
      </c>
      <c r="H41" s="3">
        <f>SUM(G41/E41)</f>
        <v>0.13304721030042918</v>
      </c>
    </row>
    <row r="42" spans="1:8" ht="20.100000000000001" customHeight="1" x14ac:dyDescent="0.25">
      <c r="A42" s="2" t="s">
        <v>120</v>
      </c>
      <c r="B42" s="2">
        <v>135</v>
      </c>
      <c r="C42" s="2">
        <v>98</v>
      </c>
      <c r="D42" s="3">
        <f>SUM(C42/B42)</f>
        <v>0.72592592592592597</v>
      </c>
      <c r="E42" s="2"/>
      <c r="F42" s="3"/>
      <c r="G42" s="2"/>
      <c r="H42" s="3"/>
    </row>
    <row r="43" spans="1:8" ht="20.100000000000001" customHeight="1" x14ac:dyDescent="0.25">
      <c r="A43" s="2" t="s">
        <v>70</v>
      </c>
      <c r="B43" s="2">
        <v>2222</v>
      </c>
      <c r="C43" s="2">
        <v>50</v>
      </c>
      <c r="D43" s="3">
        <f>SUM(C43/B43)</f>
        <v>2.2502250225022502E-2</v>
      </c>
      <c r="E43" s="2">
        <v>584</v>
      </c>
      <c r="F43" s="3">
        <f>SUM(E43/B43)</f>
        <v>0.26282628262826285</v>
      </c>
      <c r="G43" s="2">
        <v>56</v>
      </c>
      <c r="H43" s="3">
        <f>SUM(G43/E43)</f>
        <v>9.5890410958904104E-2</v>
      </c>
    </row>
    <row r="44" spans="1:8" ht="20.100000000000001" customHeight="1" x14ac:dyDescent="0.25">
      <c r="A44" s="2" t="s">
        <v>118</v>
      </c>
      <c r="B44" s="2">
        <v>1761</v>
      </c>
      <c r="C44" s="2"/>
      <c r="D44" s="3"/>
      <c r="E44" s="2">
        <v>461</v>
      </c>
      <c r="F44" s="3">
        <f>SUM(E44/B44)</f>
        <v>0.2617830777967064</v>
      </c>
      <c r="G44" s="2">
        <v>20</v>
      </c>
      <c r="H44" s="3">
        <f>SUM(G44/E44)</f>
        <v>4.3383947939262472E-2</v>
      </c>
    </row>
    <row r="45" spans="1:8" ht="20.100000000000001" customHeight="1" x14ac:dyDescent="0.25">
      <c r="A45" s="2" t="s">
        <v>60</v>
      </c>
      <c r="B45" s="2">
        <v>788</v>
      </c>
      <c r="C45" s="2"/>
      <c r="D45" s="3"/>
      <c r="E45" s="2">
        <v>244</v>
      </c>
      <c r="F45" s="3">
        <f>SUM(E45/B45)</f>
        <v>0.30964467005076141</v>
      </c>
      <c r="G45" s="2">
        <v>45</v>
      </c>
      <c r="H45" s="3">
        <f>SUM(G45/E45)</f>
        <v>0.18442622950819673</v>
      </c>
    </row>
    <row r="46" spans="1:8" ht="20.100000000000001" customHeight="1" x14ac:dyDescent="0.25">
      <c r="A46" s="2" t="s">
        <v>31</v>
      </c>
      <c r="B46" s="2">
        <v>974</v>
      </c>
      <c r="C46" s="2">
        <v>110</v>
      </c>
      <c r="D46" s="3">
        <f>SUM(C46/B46)</f>
        <v>0.11293634496919917</v>
      </c>
      <c r="E46" s="2">
        <v>193</v>
      </c>
      <c r="F46" s="3">
        <f>SUM(E46/B46)</f>
        <v>0.19815195071868583</v>
      </c>
      <c r="G46" s="2">
        <v>18</v>
      </c>
      <c r="H46" s="3">
        <f>SUM(G46/E46)</f>
        <v>9.3264248704663211E-2</v>
      </c>
    </row>
    <row r="47" spans="1:8" ht="20.100000000000001" customHeight="1" x14ac:dyDescent="0.25">
      <c r="A47" s="2" t="s">
        <v>79</v>
      </c>
      <c r="B47" s="2">
        <v>634</v>
      </c>
      <c r="C47" s="2">
        <v>70</v>
      </c>
      <c r="D47" s="3">
        <f>SUM(C47/B47)</f>
        <v>0.11041009463722397</v>
      </c>
      <c r="E47" s="2"/>
      <c r="F47" s="3"/>
      <c r="G47" s="2"/>
      <c r="H47" s="3"/>
    </row>
    <row r="48" spans="1:8" ht="20.100000000000001" customHeight="1" x14ac:dyDescent="0.25">
      <c r="A48" s="2" t="s">
        <v>183</v>
      </c>
      <c r="B48" s="2">
        <v>756</v>
      </c>
      <c r="C48" s="2">
        <v>157</v>
      </c>
      <c r="D48" s="3">
        <f>SUM(C48/B48)</f>
        <v>0.20767195767195767</v>
      </c>
      <c r="E48" s="2"/>
      <c r="F48" s="3"/>
      <c r="G48" s="2"/>
      <c r="H48" s="3"/>
    </row>
    <row r="49" spans="1:8" ht="20.100000000000001" customHeight="1" x14ac:dyDescent="0.25">
      <c r="A49" s="2" t="s">
        <v>50</v>
      </c>
      <c r="B49" s="2">
        <v>1565</v>
      </c>
      <c r="C49" s="2">
        <v>164</v>
      </c>
      <c r="D49" s="3">
        <f>SUM(C49/B49)</f>
        <v>0.10479233226837061</v>
      </c>
      <c r="E49" s="2">
        <v>244</v>
      </c>
      <c r="F49" s="3">
        <f>SUM(E49/B49)</f>
        <v>0.15591054313099043</v>
      </c>
      <c r="G49" s="2">
        <v>14</v>
      </c>
      <c r="H49" s="3">
        <f>SUM(G49/E49)</f>
        <v>5.737704918032787E-2</v>
      </c>
    </row>
    <row r="50" spans="1:8" ht="20.100000000000001" customHeight="1" x14ac:dyDescent="0.25">
      <c r="A50" s="2" t="s">
        <v>39</v>
      </c>
      <c r="B50" s="2">
        <v>3087</v>
      </c>
      <c r="C50" s="2"/>
      <c r="D50" s="3"/>
      <c r="E50" s="2">
        <v>731</v>
      </c>
      <c r="F50" s="3">
        <f>SUM(E50/B50)</f>
        <v>0.23679948169744089</v>
      </c>
      <c r="G50" s="2">
        <v>144</v>
      </c>
      <c r="H50" s="3">
        <f>SUM(G50/E50)</f>
        <v>0.19699042407660738</v>
      </c>
    </row>
    <row r="51" spans="1:8" ht="20.100000000000001" customHeight="1" x14ac:dyDescent="0.25">
      <c r="A51" s="2" t="s">
        <v>154</v>
      </c>
      <c r="B51" s="2">
        <v>1665</v>
      </c>
      <c r="C51" s="2">
        <v>135</v>
      </c>
      <c r="D51" s="3">
        <f>SUM(C51/B51)</f>
        <v>8.1081081081081086E-2</v>
      </c>
      <c r="E51" s="2">
        <v>467</v>
      </c>
      <c r="F51" s="3">
        <f>SUM(E51/B51)</f>
        <v>0.28048048048048047</v>
      </c>
      <c r="G51" s="2">
        <v>33</v>
      </c>
      <c r="H51" s="3">
        <f>SUM(G51/E51)</f>
        <v>7.0663811563169171E-2</v>
      </c>
    </row>
    <row r="52" spans="1:8" ht="20.100000000000001" customHeight="1" x14ac:dyDescent="0.25">
      <c r="A52" s="2" t="s">
        <v>155</v>
      </c>
      <c r="B52" s="2">
        <v>1654</v>
      </c>
      <c r="C52" s="2">
        <v>110</v>
      </c>
      <c r="D52" s="3">
        <f>SUM(C52/B52)</f>
        <v>6.6505441354292621E-2</v>
      </c>
      <c r="E52" s="2">
        <v>241</v>
      </c>
      <c r="F52" s="3">
        <f>SUM(E52/B52)</f>
        <v>0.1457073760580411</v>
      </c>
      <c r="G52" s="2">
        <v>21</v>
      </c>
      <c r="H52" s="3">
        <f>SUM(G52/E52)</f>
        <v>8.7136929460580909E-2</v>
      </c>
    </row>
    <row r="53" spans="1:8" ht="20.100000000000001" customHeight="1" x14ac:dyDescent="0.25">
      <c r="A53" s="2" t="s">
        <v>134</v>
      </c>
      <c r="B53" s="2">
        <v>1065</v>
      </c>
      <c r="C53" s="2">
        <v>136</v>
      </c>
      <c r="D53" s="3">
        <f>SUM(C53/B53)</f>
        <v>0.12769953051643193</v>
      </c>
      <c r="E53" s="2">
        <v>516</v>
      </c>
      <c r="F53" s="3">
        <f>SUM(E53/B53)</f>
        <v>0.48450704225352115</v>
      </c>
      <c r="G53" s="2">
        <v>6</v>
      </c>
      <c r="H53" s="3">
        <f>SUM(G53/E53)</f>
        <v>1.1627906976744186E-2</v>
      </c>
    </row>
    <row r="54" spans="1:8" ht="20.100000000000001" customHeight="1" x14ac:dyDescent="0.25">
      <c r="A54" s="2" t="s">
        <v>156</v>
      </c>
      <c r="B54" s="2">
        <v>177</v>
      </c>
      <c r="C54" s="2">
        <v>30</v>
      </c>
      <c r="D54" s="3">
        <f>SUM(C54/B54)</f>
        <v>0.16949152542372881</v>
      </c>
      <c r="E54" s="2">
        <v>94</v>
      </c>
      <c r="F54" s="3">
        <f>SUM(E54/B54)</f>
        <v>0.53107344632768361</v>
      </c>
      <c r="G54" s="2">
        <v>25</v>
      </c>
      <c r="H54" s="3">
        <f>SUM(G54/E54)</f>
        <v>0.26595744680851063</v>
      </c>
    </row>
    <row r="55" spans="1:8" ht="20.100000000000001" customHeight="1" x14ac:dyDescent="0.25">
      <c r="A55" s="2" t="s">
        <v>46</v>
      </c>
      <c r="B55" s="2">
        <v>1997</v>
      </c>
      <c r="C55" s="2">
        <v>97</v>
      </c>
      <c r="D55" s="3">
        <f>SUM(C55/B55)</f>
        <v>4.8572859288933401E-2</v>
      </c>
      <c r="E55" s="2">
        <v>574</v>
      </c>
      <c r="F55" s="3">
        <f>SUM(E55/B55)</f>
        <v>0.28743114672008013</v>
      </c>
      <c r="G55" s="2">
        <v>76</v>
      </c>
      <c r="H55" s="3">
        <f>SUM(G55/E55)</f>
        <v>0.13240418118466898</v>
      </c>
    </row>
    <row r="56" spans="1:8" ht="20.100000000000001" customHeight="1" x14ac:dyDescent="0.25">
      <c r="A56" s="2" t="s">
        <v>184</v>
      </c>
      <c r="B56" s="2">
        <v>835</v>
      </c>
      <c r="C56" s="2">
        <v>103</v>
      </c>
      <c r="D56" s="3">
        <f>SUM(C56/B56)</f>
        <v>0.12335329341317365</v>
      </c>
      <c r="E56" s="2"/>
      <c r="F56" s="3"/>
      <c r="G56" s="2"/>
      <c r="H56" s="3"/>
    </row>
    <row r="57" spans="1:8" ht="20.100000000000001" customHeight="1" x14ac:dyDescent="0.25">
      <c r="A57" s="2" t="s">
        <v>196</v>
      </c>
      <c r="B57" s="2">
        <v>2099</v>
      </c>
      <c r="C57" s="2">
        <v>74</v>
      </c>
      <c r="D57" s="3">
        <f>SUM(C57/B57)</f>
        <v>3.5254883277751309E-2</v>
      </c>
      <c r="E57" s="2">
        <v>120</v>
      </c>
      <c r="F57" s="3">
        <f>SUM(E57/B57)</f>
        <v>5.7170080990948072E-2</v>
      </c>
      <c r="G57" s="2"/>
      <c r="H57" s="3"/>
    </row>
    <row r="58" spans="1:8" ht="20.100000000000001" customHeight="1" x14ac:dyDescent="0.25">
      <c r="A58" s="2" t="s">
        <v>45</v>
      </c>
      <c r="B58" s="2">
        <v>1672</v>
      </c>
      <c r="C58" s="2"/>
      <c r="D58" s="3"/>
      <c r="E58" s="2">
        <v>566</v>
      </c>
      <c r="F58" s="3">
        <f>SUM(E58/B58)</f>
        <v>0.33851674641148327</v>
      </c>
      <c r="G58" s="2">
        <v>47</v>
      </c>
      <c r="H58" s="3">
        <f>SUM(G58/E58)</f>
        <v>8.3038869257950523E-2</v>
      </c>
    </row>
    <row r="59" spans="1:8" ht="20.100000000000001" customHeight="1" x14ac:dyDescent="0.25">
      <c r="A59" s="2" t="s">
        <v>157</v>
      </c>
      <c r="B59" s="2">
        <v>3399</v>
      </c>
      <c r="C59" s="2">
        <v>72</v>
      </c>
      <c r="D59" s="3">
        <f>SUM(C59/B59)</f>
        <v>2.1182700794351281E-2</v>
      </c>
      <c r="E59" s="2">
        <v>793</v>
      </c>
      <c r="F59" s="3">
        <f>SUM(E59/B59)</f>
        <v>0.23330391291556341</v>
      </c>
      <c r="G59" s="2">
        <v>49</v>
      </c>
      <c r="H59" s="3">
        <f>SUM(G59/E59)</f>
        <v>6.1790668348045398E-2</v>
      </c>
    </row>
    <row r="60" spans="1:8" ht="20.100000000000001" customHeight="1" x14ac:dyDescent="0.25">
      <c r="A60" s="2" t="s">
        <v>41</v>
      </c>
      <c r="B60" s="2">
        <v>1233</v>
      </c>
      <c r="C60" s="2">
        <v>105</v>
      </c>
      <c r="D60" s="3">
        <f>SUM(C60/B60)</f>
        <v>8.5158150851581502E-2</v>
      </c>
      <c r="E60" s="2">
        <v>224</v>
      </c>
      <c r="F60" s="3">
        <f>SUM(E60/B60)</f>
        <v>0.18167072181670721</v>
      </c>
      <c r="G60" s="2">
        <v>15</v>
      </c>
      <c r="H60" s="3">
        <f>SUM(G60/E60)</f>
        <v>6.6964285714285712E-2</v>
      </c>
    </row>
    <row r="61" spans="1:8" ht="20.100000000000001" customHeight="1" x14ac:dyDescent="0.25">
      <c r="A61" s="2" t="s">
        <v>36</v>
      </c>
      <c r="B61" s="2">
        <v>712</v>
      </c>
      <c r="C61" s="2">
        <v>95</v>
      </c>
      <c r="D61" s="3">
        <f>SUM(C61/B61)</f>
        <v>0.13342696629213482</v>
      </c>
      <c r="E61" s="2"/>
      <c r="F61" s="3"/>
      <c r="G61" s="2"/>
      <c r="H61" s="3"/>
    </row>
    <row r="62" spans="1:8" ht="20.100000000000001" customHeight="1" x14ac:dyDescent="0.25">
      <c r="A62" s="2" t="s">
        <v>129</v>
      </c>
      <c r="B62" s="2">
        <v>1084</v>
      </c>
      <c r="C62" s="2">
        <v>62</v>
      </c>
      <c r="D62" s="3">
        <f>SUM(C62/B62)</f>
        <v>5.719557195571956E-2</v>
      </c>
      <c r="E62" s="2"/>
      <c r="F62" s="3"/>
      <c r="G62" s="2"/>
      <c r="H62" s="3"/>
    </row>
    <row r="63" spans="1:8" ht="20.100000000000001" customHeight="1" x14ac:dyDescent="0.25">
      <c r="A63" s="2" t="s">
        <v>185</v>
      </c>
      <c r="B63" s="2">
        <v>2080</v>
      </c>
      <c r="C63" s="2">
        <v>150</v>
      </c>
      <c r="D63" s="3">
        <f>SUM(C63/B63)</f>
        <v>7.2115384615384609E-2</v>
      </c>
      <c r="E63" s="2">
        <v>574</v>
      </c>
      <c r="F63" s="3">
        <f>SUM(E63/B63)</f>
        <v>0.27596153846153848</v>
      </c>
      <c r="G63" s="2">
        <v>67</v>
      </c>
      <c r="H63" s="3">
        <f>SUM(G63/E63)</f>
        <v>0.11672473867595819</v>
      </c>
    </row>
    <row r="64" spans="1:8" ht="20.100000000000001" customHeight="1" x14ac:dyDescent="0.25">
      <c r="A64" s="2" t="s">
        <v>74</v>
      </c>
      <c r="B64" s="2">
        <v>887</v>
      </c>
      <c r="C64" s="2">
        <v>100</v>
      </c>
      <c r="D64" s="3">
        <f>SUM(C64/B64)</f>
        <v>0.11273957158962795</v>
      </c>
      <c r="E64" s="2"/>
      <c r="F64" s="3"/>
      <c r="G64" s="2"/>
      <c r="H64" s="3"/>
    </row>
    <row r="65" spans="1:8" ht="20.100000000000001" customHeight="1" x14ac:dyDescent="0.25">
      <c r="A65" s="2" t="s">
        <v>142</v>
      </c>
      <c r="B65" s="2">
        <v>876</v>
      </c>
      <c r="C65" s="2">
        <v>90</v>
      </c>
      <c r="D65" s="3">
        <f>SUM(C65/B65)</f>
        <v>0.10273972602739725</v>
      </c>
      <c r="E65" s="2"/>
      <c r="F65" s="3"/>
      <c r="G65" s="2"/>
      <c r="H65" s="3"/>
    </row>
    <row r="66" spans="1:8" ht="20.100000000000001" customHeight="1" x14ac:dyDescent="0.25">
      <c r="A66" s="2" t="s">
        <v>53</v>
      </c>
      <c r="B66" s="2">
        <v>3257</v>
      </c>
      <c r="C66" s="2">
        <v>95</v>
      </c>
      <c r="D66" s="3">
        <f>SUM(C66/B66)</f>
        <v>2.9167945962542217E-2</v>
      </c>
      <c r="E66" s="2">
        <v>751</v>
      </c>
      <c r="F66" s="3">
        <f>SUM(E66/B66)</f>
        <v>0.23058028860914953</v>
      </c>
      <c r="G66" s="2">
        <v>84</v>
      </c>
      <c r="H66" s="3">
        <f>SUM(G66/E66)</f>
        <v>0.11185086551264981</v>
      </c>
    </row>
    <row r="67" spans="1:8" ht="20.100000000000001" customHeight="1" x14ac:dyDescent="0.25">
      <c r="A67" s="2" t="s">
        <v>89</v>
      </c>
      <c r="B67" s="2">
        <v>772</v>
      </c>
      <c r="C67" s="2">
        <v>81</v>
      </c>
      <c r="D67" s="3">
        <f>SUM(C67/B67)</f>
        <v>0.10492227979274611</v>
      </c>
      <c r="E67" s="2"/>
      <c r="F67" s="3"/>
      <c r="G67" s="2"/>
      <c r="H67" s="3"/>
    </row>
    <row r="68" spans="1:8" ht="20.100000000000001" customHeight="1" x14ac:dyDescent="0.25">
      <c r="A68" s="2" t="s">
        <v>4</v>
      </c>
      <c r="B68" s="2">
        <v>159</v>
      </c>
      <c r="C68" s="2"/>
      <c r="D68" s="3"/>
      <c r="E68" s="2">
        <v>56</v>
      </c>
      <c r="F68" s="3">
        <f>SUM(E68/B68)</f>
        <v>0.3522012578616352</v>
      </c>
      <c r="G68" s="2"/>
      <c r="H68" s="3">
        <f>SUM(G68/E68)</f>
        <v>0</v>
      </c>
    </row>
    <row r="69" spans="1:8" ht="20.100000000000001" customHeight="1" x14ac:dyDescent="0.25">
      <c r="A69" s="2" t="s">
        <v>25</v>
      </c>
      <c r="B69" s="2">
        <v>495</v>
      </c>
      <c r="C69" s="2">
        <v>63</v>
      </c>
      <c r="D69" s="3">
        <f>SUM(C69/B69)</f>
        <v>0.12727272727272726</v>
      </c>
      <c r="E69" s="2">
        <v>167</v>
      </c>
      <c r="F69" s="3">
        <f>SUM(E69/B69)</f>
        <v>0.33737373737373738</v>
      </c>
      <c r="G69" s="2">
        <v>8</v>
      </c>
      <c r="H69" s="3">
        <f>SUM(G69/E69)</f>
        <v>4.790419161676647E-2</v>
      </c>
    </row>
    <row r="70" spans="1:8" ht="20.100000000000001" customHeight="1" x14ac:dyDescent="0.25">
      <c r="A70" s="2" t="s">
        <v>65</v>
      </c>
      <c r="B70" s="2">
        <v>55</v>
      </c>
      <c r="C70" s="2">
        <v>16</v>
      </c>
      <c r="D70" s="3">
        <f>SUM(C70/B70)</f>
        <v>0.29090909090909089</v>
      </c>
      <c r="E70" s="2"/>
      <c r="F70" s="3"/>
      <c r="G70" s="2"/>
      <c r="H70" s="3"/>
    </row>
    <row r="71" spans="1:8" ht="20.100000000000001" customHeight="1" x14ac:dyDescent="0.25">
      <c r="A71" s="2" t="s">
        <v>55</v>
      </c>
      <c r="B71" s="2">
        <v>213</v>
      </c>
      <c r="C71" s="2">
        <v>40</v>
      </c>
      <c r="D71" s="3">
        <f>SUM(C71/B71)</f>
        <v>0.18779342723004694</v>
      </c>
      <c r="E71" s="2"/>
      <c r="F71" s="3"/>
      <c r="G71" s="2"/>
      <c r="H71" s="3"/>
    </row>
    <row r="72" spans="1:8" ht="20.100000000000001" customHeight="1" x14ac:dyDescent="0.25">
      <c r="A72" s="2" t="s">
        <v>29</v>
      </c>
      <c r="B72" s="2">
        <v>672</v>
      </c>
      <c r="C72" s="2">
        <v>125</v>
      </c>
      <c r="D72" s="3">
        <f>SUM(C72/B72)</f>
        <v>0.18601190476190477</v>
      </c>
      <c r="E72" s="2"/>
      <c r="F72" s="3"/>
      <c r="G72" s="2"/>
      <c r="H72" s="3"/>
    </row>
    <row r="73" spans="1:8" ht="20.100000000000001" customHeight="1" x14ac:dyDescent="0.25">
      <c r="A73" s="2" t="s">
        <v>10</v>
      </c>
      <c r="B73" s="2">
        <v>186</v>
      </c>
      <c r="C73" s="2">
        <v>35</v>
      </c>
      <c r="D73" s="3">
        <f>SUM(C73/B73)</f>
        <v>0.18817204301075269</v>
      </c>
      <c r="E73" s="2">
        <v>88</v>
      </c>
      <c r="F73" s="3">
        <f>SUM(E73/B73)</f>
        <v>0.4731182795698925</v>
      </c>
      <c r="G73" s="2">
        <v>23</v>
      </c>
      <c r="H73" s="3">
        <f>SUM(G73/E73)</f>
        <v>0.26136363636363635</v>
      </c>
    </row>
    <row r="74" spans="1:8" ht="20.100000000000001" customHeight="1" x14ac:dyDescent="0.25">
      <c r="A74" s="2" t="s">
        <v>186</v>
      </c>
      <c r="B74" s="2">
        <v>1606</v>
      </c>
      <c r="C74" s="2"/>
      <c r="D74" s="3"/>
      <c r="E74" s="2">
        <v>258</v>
      </c>
      <c r="F74" s="3">
        <f>SUM(E74/B74)</f>
        <v>0.16064757160647572</v>
      </c>
      <c r="G74" s="2">
        <v>19</v>
      </c>
      <c r="H74" s="3">
        <f>SUM(G74/E74)</f>
        <v>7.3643410852713184E-2</v>
      </c>
    </row>
    <row r="75" spans="1:8" ht="20.100000000000001" customHeight="1" x14ac:dyDescent="0.25">
      <c r="A75" s="2" t="s">
        <v>16</v>
      </c>
      <c r="B75" s="2">
        <v>528</v>
      </c>
      <c r="C75" s="2">
        <v>70</v>
      </c>
      <c r="D75" s="3">
        <f>SUM(C75/B75)</f>
        <v>0.13257575757575757</v>
      </c>
      <c r="E75" s="2">
        <v>209</v>
      </c>
      <c r="F75" s="3">
        <f>SUM(E75/B75)</f>
        <v>0.39583333333333331</v>
      </c>
      <c r="G75" s="2">
        <v>20</v>
      </c>
      <c r="H75" s="3">
        <f>SUM(G75/E75)</f>
        <v>9.569377990430622E-2</v>
      </c>
    </row>
    <row r="76" spans="1:8" ht="20.100000000000001" customHeight="1" x14ac:dyDescent="0.25">
      <c r="A76" s="2" t="s">
        <v>132</v>
      </c>
      <c r="B76" s="2">
        <v>2343</v>
      </c>
      <c r="C76" s="2">
        <v>135</v>
      </c>
      <c r="D76" s="3">
        <f>SUM(C76/B76)</f>
        <v>5.7618437900128043E-2</v>
      </c>
      <c r="E76" s="2">
        <v>601</v>
      </c>
      <c r="F76" s="3">
        <f>SUM(E76/B76)</f>
        <v>0.25650874946649593</v>
      </c>
      <c r="G76" s="2">
        <v>6</v>
      </c>
      <c r="H76" s="3">
        <f>SUM(G76/E76)</f>
        <v>9.9833610648918467E-3</v>
      </c>
    </row>
    <row r="77" spans="1:8" ht="20.100000000000001" customHeight="1" x14ac:dyDescent="0.25">
      <c r="A77" s="2" t="s">
        <v>100</v>
      </c>
      <c r="B77" s="2">
        <v>1908</v>
      </c>
      <c r="C77" s="2">
        <v>140</v>
      </c>
      <c r="D77" s="3">
        <f>SUM(C77/B77)</f>
        <v>7.337526205450734E-2</v>
      </c>
      <c r="E77" s="2">
        <v>376</v>
      </c>
      <c r="F77" s="3">
        <f>SUM(E77/B77)</f>
        <v>0.1970649895178197</v>
      </c>
      <c r="G77" s="2">
        <v>35</v>
      </c>
      <c r="H77" s="3">
        <f>SUM(G77/E77)</f>
        <v>9.3085106382978719E-2</v>
      </c>
    </row>
    <row r="78" spans="1:8" ht="20.100000000000001" customHeight="1" x14ac:dyDescent="0.25">
      <c r="A78" s="2" t="s">
        <v>127</v>
      </c>
      <c r="B78" s="2">
        <v>3719</v>
      </c>
      <c r="C78" s="2"/>
      <c r="D78" s="3"/>
      <c r="E78" s="2">
        <v>1094</v>
      </c>
      <c r="F78" s="3">
        <f>SUM(E78/B78)</f>
        <v>0.29416509814466252</v>
      </c>
      <c r="G78" s="2">
        <v>198</v>
      </c>
      <c r="H78" s="3">
        <f>SUM(G78/E78)</f>
        <v>0.18098720292504569</v>
      </c>
    </row>
    <row r="79" spans="1:8" ht="20.100000000000001" customHeight="1" x14ac:dyDescent="0.25">
      <c r="A79" s="2" t="s">
        <v>62</v>
      </c>
      <c r="B79" s="2">
        <v>385</v>
      </c>
      <c r="C79" s="2">
        <v>60</v>
      </c>
      <c r="D79" s="3">
        <f>SUM(C79/B79)</f>
        <v>0.15584415584415584</v>
      </c>
      <c r="E79" s="2">
        <v>103</v>
      </c>
      <c r="F79" s="3">
        <f>SUM(E79/B79)</f>
        <v>0.26753246753246751</v>
      </c>
      <c r="G79" s="2">
        <v>5</v>
      </c>
      <c r="H79" s="3">
        <f>SUM(G79/E79)</f>
        <v>4.8543689320388349E-2</v>
      </c>
    </row>
    <row r="80" spans="1:8" ht="20.100000000000001" customHeight="1" x14ac:dyDescent="0.25">
      <c r="A80" s="2" t="s">
        <v>14</v>
      </c>
      <c r="B80" s="2">
        <v>1365</v>
      </c>
      <c r="C80" s="2"/>
      <c r="D80" s="3"/>
      <c r="E80" s="2">
        <v>281</v>
      </c>
      <c r="F80" s="3">
        <f>SUM(E80/B80)</f>
        <v>0.20586080586080585</v>
      </c>
      <c r="G80" s="2">
        <v>7</v>
      </c>
      <c r="H80" s="3">
        <f>SUM(G80/E80)</f>
        <v>2.491103202846975E-2</v>
      </c>
    </row>
    <row r="81" spans="1:8" ht="20.100000000000001" customHeight="1" x14ac:dyDescent="0.25">
      <c r="A81" s="2" t="s">
        <v>86</v>
      </c>
      <c r="B81" s="2">
        <v>320</v>
      </c>
      <c r="C81" s="2">
        <v>37</v>
      </c>
      <c r="D81" s="3">
        <f>SUM(C81/B81)</f>
        <v>0.11562500000000001</v>
      </c>
      <c r="E81" s="2">
        <v>67</v>
      </c>
      <c r="F81" s="3">
        <f>SUM(E81/B81)</f>
        <v>0.20937500000000001</v>
      </c>
      <c r="G81" s="2">
        <v>1</v>
      </c>
      <c r="H81" s="3">
        <f>SUM(G81/E81)</f>
        <v>1.4925373134328358E-2</v>
      </c>
    </row>
    <row r="82" spans="1:8" ht="20.100000000000001" customHeight="1" x14ac:dyDescent="0.25">
      <c r="A82" s="2" t="s">
        <v>124</v>
      </c>
      <c r="B82" s="2">
        <v>709</v>
      </c>
      <c r="C82" s="2">
        <v>72</v>
      </c>
      <c r="D82" s="3">
        <f>SUM(C82/B82)</f>
        <v>0.10155148095909731</v>
      </c>
      <c r="E82" s="2"/>
      <c r="F82" s="3"/>
      <c r="G82" s="2"/>
      <c r="H82" s="3"/>
    </row>
    <row r="83" spans="1:8" ht="20.100000000000001" customHeight="1" x14ac:dyDescent="0.25">
      <c r="A83" s="2" t="s">
        <v>101</v>
      </c>
      <c r="B83" s="2">
        <v>370</v>
      </c>
      <c r="C83" s="2" t="s">
        <v>198</v>
      </c>
      <c r="D83" s="3"/>
      <c r="E83" s="2">
        <v>167</v>
      </c>
      <c r="F83" s="3">
        <f>SUM(E83/B83)</f>
        <v>0.45135135135135135</v>
      </c>
      <c r="G83" s="2">
        <v>18</v>
      </c>
      <c r="H83" s="3">
        <f>SUM(G83/E83)</f>
        <v>0.10778443113772455</v>
      </c>
    </row>
    <row r="84" spans="1:8" ht="20.100000000000001" customHeight="1" x14ac:dyDescent="0.25">
      <c r="A84" s="2" t="s">
        <v>40</v>
      </c>
      <c r="B84" s="2">
        <v>638</v>
      </c>
      <c r="C84" s="2">
        <v>79</v>
      </c>
      <c r="D84" s="3">
        <f>SUM(C84/B84)</f>
        <v>0.1238244514106583</v>
      </c>
      <c r="E84" s="2"/>
      <c r="F84" s="3"/>
      <c r="G84" s="2"/>
      <c r="H84" s="3"/>
    </row>
    <row r="85" spans="1:8" ht="20.100000000000001" customHeight="1" x14ac:dyDescent="0.25">
      <c r="A85" s="2" t="s">
        <v>84</v>
      </c>
      <c r="B85" s="2">
        <v>314</v>
      </c>
      <c r="C85" s="2">
        <v>30</v>
      </c>
      <c r="D85" s="3">
        <f>SUM(C85/B85)</f>
        <v>9.5541401273885357E-2</v>
      </c>
      <c r="E85" s="2"/>
      <c r="F85" s="3"/>
      <c r="G85" s="2"/>
      <c r="H85" s="3"/>
    </row>
    <row r="86" spans="1:8" ht="20.100000000000001" customHeight="1" x14ac:dyDescent="0.25">
      <c r="A86" s="2" t="s">
        <v>87</v>
      </c>
      <c r="B86" s="2">
        <v>3821</v>
      </c>
      <c r="C86" s="2">
        <v>200</v>
      </c>
      <c r="D86" s="3">
        <f>SUM(C86/B86)</f>
        <v>5.2342318764721278E-2</v>
      </c>
      <c r="E86" s="2">
        <v>681</v>
      </c>
      <c r="F86" s="3">
        <f>SUM(E86/B86)</f>
        <v>0.17822559539387595</v>
      </c>
      <c r="G86" s="2">
        <v>95</v>
      </c>
      <c r="H86" s="3">
        <f>SUM(G86/E86)</f>
        <v>0.1395007342143906</v>
      </c>
    </row>
    <row r="87" spans="1:8" ht="20.100000000000001" customHeight="1" x14ac:dyDescent="0.25">
      <c r="A87" s="2" t="s">
        <v>28</v>
      </c>
      <c r="B87" s="2">
        <v>2032</v>
      </c>
      <c r="C87" s="2">
        <v>130</v>
      </c>
      <c r="D87" s="3">
        <f>SUM(C87/B87)</f>
        <v>6.3976377952755903E-2</v>
      </c>
      <c r="E87" s="2">
        <v>168</v>
      </c>
      <c r="F87" s="3">
        <f>SUM(E87/B87)</f>
        <v>8.2677165354330714E-2</v>
      </c>
      <c r="G87" s="2">
        <v>2</v>
      </c>
      <c r="H87" s="3">
        <f>SUM(G87/E87)</f>
        <v>1.1904761904761904E-2</v>
      </c>
    </row>
    <row r="88" spans="1:8" ht="20.100000000000001" customHeight="1" x14ac:dyDescent="0.25">
      <c r="A88" s="2" t="s">
        <v>144</v>
      </c>
      <c r="B88" s="2">
        <v>914</v>
      </c>
      <c r="C88" s="2"/>
      <c r="D88" s="3"/>
      <c r="E88" s="2">
        <v>335</v>
      </c>
      <c r="F88" s="3">
        <f>SUM(E88/B88)</f>
        <v>0.3665207877461707</v>
      </c>
      <c r="G88" s="2">
        <v>31</v>
      </c>
      <c r="H88" s="3">
        <f>SUM(G88/E88)</f>
        <v>9.2537313432835819E-2</v>
      </c>
    </row>
    <row r="89" spans="1:8" ht="20.100000000000001" customHeight="1" x14ac:dyDescent="0.25">
      <c r="A89" s="2" t="s">
        <v>141</v>
      </c>
      <c r="B89" s="2">
        <v>344</v>
      </c>
      <c r="C89" s="2">
        <v>50</v>
      </c>
      <c r="D89" s="3">
        <f>SUM(C89/B89)</f>
        <v>0.14534883720930233</v>
      </c>
      <c r="E89" s="2"/>
      <c r="F89" s="3"/>
      <c r="G89" s="2"/>
      <c r="H89" s="3"/>
    </row>
    <row r="90" spans="1:8" ht="20.100000000000001" customHeight="1" x14ac:dyDescent="0.25">
      <c r="A90" s="2" t="s">
        <v>7</v>
      </c>
      <c r="B90" s="2">
        <v>112</v>
      </c>
      <c r="C90" s="2">
        <v>112</v>
      </c>
      <c r="D90" s="3">
        <f>SUM(C90/B90)</f>
        <v>1</v>
      </c>
      <c r="E90" s="2"/>
      <c r="F90" s="3"/>
      <c r="G90" s="2"/>
      <c r="H90" s="3"/>
    </row>
    <row r="91" spans="1:8" ht="20.100000000000001" customHeight="1" x14ac:dyDescent="0.25">
      <c r="A91" s="2" t="s">
        <v>8</v>
      </c>
      <c r="B91" s="2">
        <v>683</v>
      </c>
      <c r="C91" s="2">
        <v>30</v>
      </c>
      <c r="D91" s="3">
        <f>SUM(C91/B91)</f>
        <v>4.3923865300146414E-2</v>
      </c>
      <c r="E91" s="2">
        <v>129</v>
      </c>
      <c r="F91" s="3">
        <f>SUM(E91/B91)</f>
        <v>0.18887262079062958</v>
      </c>
      <c r="G91" s="2">
        <v>5</v>
      </c>
      <c r="H91" s="3">
        <f>SUM(G91/E91)</f>
        <v>3.875968992248062E-2</v>
      </c>
    </row>
    <row r="92" spans="1:8" ht="20.100000000000001" customHeight="1" x14ac:dyDescent="0.25">
      <c r="A92" s="2" t="s">
        <v>80</v>
      </c>
      <c r="B92" s="2">
        <v>75</v>
      </c>
      <c r="C92" s="2">
        <v>20</v>
      </c>
      <c r="D92" s="3">
        <f>SUM(C92/B92)</f>
        <v>0.26666666666666666</v>
      </c>
      <c r="E92" s="2"/>
      <c r="F92" s="3"/>
      <c r="G92" s="2"/>
      <c r="H92" s="3"/>
    </row>
    <row r="93" spans="1:8" ht="20.100000000000001" customHeight="1" x14ac:dyDescent="0.25">
      <c r="A93" s="2" t="s">
        <v>34</v>
      </c>
      <c r="B93" s="2">
        <v>1272</v>
      </c>
      <c r="C93" s="2">
        <v>140</v>
      </c>
      <c r="D93" s="3">
        <f>SUM(C93/B93)</f>
        <v>0.11006289308176101</v>
      </c>
      <c r="E93" s="2"/>
      <c r="F93" s="3"/>
      <c r="G93" s="2"/>
      <c r="H93" s="3"/>
    </row>
    <row r="94" spans="1:8" ht="20.100000000000001" customHeight="1" x14ac:dyDescent="0.25">
      <c r="A94" s="2" t="s">
        <v>64</v>
      </c>
      <c r="B94" s="2">
        <v>569</v>
      </c>
      <c r="C94" s="2">
        <v>96</v>
      </c>
      <c r="D94" s="3">
        <f>SUM(C94/B94)</f>
        <v>0.1687170474516696</v>
      </c>
      <c r="E94" s="2">
        <v>92</v>
      </c>
      <c r="F94" s="3">
        <f>SUM(E94/B94)</f>
        <v>0.16168717047451669</v>
      </c>
      <c r="G94" s="2"/>
      <c r="H94" s="3"/>
    </row>
    <row r="95" spans="1:8" ht="20.100000000000001" customHeight="1" x14ac:dyDescent="0.25">
      <c r="A95" s="2" t="s">
        <v>187</v>
      </c>
      <c r="B95" s="2">
        <v>1514</v>
      </c>
      <c r="C95" s="2"/>
      <c r="D95" s="3"/>
      <c r="E95" s="2">
        <v>256</v>
      </c>
      <c r="F95" s="3">
        <f>SUM(E95/B95)</f>
        <v>0.1690885072655218</v>
      </c>
      <c r="G95" s="2">
        <v>21</v>
      </c>
      <c r="H95" s="3">
        <f>SUM(G95/E95)</f>
        <v>8.203125E-2</v>
      </c>
    </row>
    <row r="96" spans="1:8" ht="20.100000000000001" customHeight="1" x14ac:dyDescent="0.25">
      <c r="A96" s="2" t="s">
        <v>77</v>
      </c>
      <c r="B96" s="2">
        <v>962</v>
      </c>
      <c r="C96" s="2">
        <v>62</v>
      </c>
      <c r="D96" s="3">
        <f>SUM(C96/B96)</f>
        <v>6.4449064449064453E-2</v>
      </c>
      <c r="E96" s="2">
        <v>157</v>
      </c>
      <c r="F96" s="3">
        <f>SUM(E96/B96)</f>
        <v>0.16320166320166321</v>
      </c>
      <c r="G96" s="2">
        <v>10</v>
      </c>
      <c r="H96" s="3">
        <f>SUM(G96/E96)</f>
        <v>6.3694267515923567E-2</v>
      </c>
    </row>
    <row r="97" spans="1:8" ht="20.100000000000001" customHeight="1" x14ac:dyDescent="0.25">
      <c r="A97" s="2" t="s">
        <v>102</v>
      </c>
      <c r="B97" s="2">
        <v>3168</v>
      </c>
      <c r="C97" s="2">
        <v>102</v>
      </c>
      <c r="D97" s="3">
        <f>SUM(C97/B97)</f>
        <v>3.2196969696969696E-2</v>
      </c>
      <c r="E97" s="2">
        <v>244</v>
      </c>
      <c r="F97" s="3">
        <f>SUM(E97/B97)</f>
        <v>7.7020202020202017E-2</v>
      </c>
      <c r="G97" s="2">
        <v>10</v>
      </c>
      <c r="H97" s="3">
        <f>SUM(G97/E97)</f>
        <v>4.0983606557377046E-2</v>
      </c>
    </row>
    <row r="98" spans="1:8" ht="20.100000000000001" customHeight="1" x14ac:dyDescent="0.25">
      <c r="A98" s="2" t="s">
        <v>173</v>
      </c>
      <c r="B98" s="2">
        <v>129</v>
      </c>
      <c r="C98" s="2">
        <v>26</v>
      </c>
      <c r="D98" s="3">
        <f>SUM(C98/B98)</f>
        <v>0.20155038759689922</v>
      </c>
      <c r="E98" s="2"/>
      <c r="F98" s="3"/>
      <c r="G98" s="2"/>
      <c r="H98" s="3"/>
    </row>
    <row r="99" spans="1:8" ht="20.100000000000001" customHeight="1" x14ac:dyDescent="0.25">
      <c r="A99" s="2" t="s">
        <v>116</v>
      </c>
      <c r="B99" s="2">
        <v>3585</v>
      </c>
      <c r="C99" s="2">
        <v>147</v>
      </c>
      <c r="D99" s="3">
        <f>SUM(C99/B99)</f>
        <v>4.1004184100418409E-2</v>
      </c>
      <c r="E99" s="2">
        <v>794</v>
      </c>
      <c r="F99" s="3">
        <f>SUM(E99/B99)</f>
        <v>0.22147838214783822</v>
      </c>
      <c r="G99" s="2">
        <v>120</v>
      </c>
      <c r="H99" s="3">
        <f>SUM(G99/E99)</f>
        <v>0.15113350125944586</v>
      </c>
    </row>
    <row r="100" spans="1:8" ht="20.100000000000001" customHeight="1" x14ac:dyDescent="0.25">
      <c r="A100" s="2" t="s">
        <v>88</v>
      </c>
      <c r="B100" s="2">
        <v>716</v>
      </c>
      <c r="C100" s="2"/>
      <c r="D100" s="3"/>
      <c r="E100" s="2">
        <v>135</v>
      </c>
      <c r="F100" s="3">
        <f>SUM(E100/B100)</f>
        <v>0.18854748603351956</v>
      </c>
      <c r="G100" s="2">
        <v>6</v>
      </c>
      <c r="H100" s="3">
        <f>SUM(G100/E100)</f>
        <v>4.4444444444444446E-2</v>
      </c>
    </row>
    <row r="101" spans="1:8" ht="20.100000000000001" customHeight="1" x14ac:dyDescent="0.25">
      <c r="A101" s="2" t="s">
        <v>13</v>
      </c>
      <c r="B101" s="2">
        <v>1090</v>
      </c>
      <c r="C101" s="2">
        <v>134</v>
      </c>
      <c r="D101" s="3">
        <f>SUM(C101/B101)</f>
        <v>0.12293577981651377</v>
      </c>
      <c r="E101" s="2">
        <v>228</v>
      </c>
      <c r="F101" s="3">
        <f>SUM(E101/B101)</f>
        <v>0.20917431192660552</v>
      </c>
      <c r="G101" s="2">
        <v>11</v>
      </c>
      <c r="H101" s="3">
        <f>SUM(G101/E101)</f>
        <v>4.8245614035087717E-2</v>
      </c>
    </row>
    <row r="102" spans="1:8" ht="20.100000000000001" customHeight="1" x14ac:dyDescent="0.25">
      <c r="A102" s="2" t="s">
        <v>18</v>
      </c>
      <c r="B102" s="2">
        <v>817</v>
      </c>
      <c r="C102" s="2" t="s">
        <v>198</v>
      </c>
      <c r="D102" s="3"/>
      <c r="E102" s="2">
        <v>118</v>
      </c>
      <c r="F102" s="3">
        <f>SUM(E102/B102)</f>
        <v>0.14443084455324356</v>
      </c>
      <c r="G102" s="2">
        <v>2</v>
      </c>
      <c r="H102" s="3">
        <f>SUM(G102/E102)</f>
        <v>1.6949152542372881E-2</v>
      </c>
    </row>
    <row r="103" spans="1:8" ht="20.100000000000001" customHeight="1" x14ac:dyDescent="0.25">
      <c r="A103" s="2" t="s">
        <v>94</v>
      </c>
      <c r="B103" s="2">
        <v>4673</v>
      </c>
      <c r="C103" s="2">
        <v>163</v>
      </c>
      <c r="D103" s="3">
        <f>SUM(C103/B103)</f>
        <v>3.4881232612882514E-2</v>
      </c>
      <c r="E103" s="2">
        <v>689</v>
      </c>
      <c r="F103" s="3">
        <f>SUM(E103/B103)</f>
        <v>0.14744275625936229</v>
      </c>
      <c r="G103" s="2">
        <v>58</v>
      </c>
      <c r="H103" s="3">
        <f>SUM(G103/E103)</f>
        <v>8.4179970972423801E-2</v>
      </c>
    </row>
    <row r="104" spans="1:8" ht="20.100000000000001" customHeight="1" x14ac:dyDescent="0.25">
      <c r="A104" s="2" t="s">
        <v>47</v>
      </c>
      <c r="B104" s="2">
        <v>1529</v>
      </c>
      <c r="C104" s="2"/>
      <c r="D104" s="3"/>
      <c r="E104" s="2">
        <v>426</v>
      </c>
      <c r="F104" s="3">
        <f>SUM(E104/B104)</f>
        <v>0.27861347285807719</v>
      </c>
      <c r="G104" s="2">
        <v>83</v>
      </c>
      <c r="H104" s="3">
        <f>SUM(G104/E104)</f>
        <v>0.19483568075117372</v>
      </c>
    </row>
    <row r="105" spans="1:8" ht="20.100000000000001" customHeight="1" x14ac:dyDescent="0.25">
      <c r="A105" s="2" t="s">
        <v>20</v>
      </c>
      <c r="B105" s="2">
        <v>629</v>
      </c>
      <c r="C105" s="2"/>
      <c r="D105" s="3"/>
      <c r="E105" s="2">
        <v>337</v>
      </c>
      <c r="F105" s="3">
        <f>SUM(E105/B105)</f>
        <v>0.53577106518282991</v>
      </c>
      <c r="G105" s="2">
        <v>30</v>
      </c>
      <c r="H105" s="3">
        <f>SUM(G105/E105)</f>
        <v>8.9020771513353122E-2</v>
      </c>
    </row>
    <row r="106" spans="1:8" ht="20.100000000000001" customHeight="1" x14ac:dyDescent="0.25">
      <c r="A106" s="2" t="s">
        <v>108</v>
      </c>
      <c r="B106" s="2">
        <v>7425</v>
      </c>
      <c r="C106" s="2"/>
      <c r="D106" s="3"/>
      <c r="E106" s="2">
        <v>1791</v>
      </c>
      <c r="F106" s="3">
        <f>SUM(E106/B106)</f>
        <v>0.24121212121212121</v>
      </c>
      <c r="G106" s="2">
        <v>257</v>
      </c>
      <c r="H106" s="3">
        <f>SUM(G106/E106)</f>
        <v>0.14349525404801786</v>
      </c>
    </row>
    <row r="107" spans="1:8" ht="20.100000000000001" customHeight="1" x14ac:dyDescent="0.25">
      <c r="A107" s="2" t="s">
        <v>71</v>
      </c>
      <c r="B107" s="2">
        <v>1405</v>
      </c>
      <c r="C107" s="2"/>
      <c r="D107" s="3"/>
      <c r="E107" s="2">
        <v>409</v>
      </c>
      <c r="F107" s="3">
        <f>SUM(E107/B107)</f>
        <v>0.29110320284697511</v>
      </c>
      <c r="G107" s="2">
        <v>13</v>
      </c>
      <c r="H107" s="3">
        <f>SUM(G107/E107)</f>
        <v>3.1784841075794622E-2</v>
      </c>
    </row>
    <row r="108" spans="1:8" ht="20.100000000000001" customHeight="1" x14ac:dyDescent="0.25">
      <c r="A108" s="2" t="s">
        <v>75</v>
      </c>
      <c r="B108" s="2">
        <v>868</v>
      </c>
      <c r="C108" s="2">
        <v>87</v>
      </c>
      <c r="D108" s="3">
        <f>SUM(C108/B108)</f>
        <v>0.10023041474654378</v>
      </c>
      <c r="E108" s="2"/>
      <c r="F108" s="3"/>
      <c r="G108" s="2"/>
      <c r="H108" s="3"/>
    </row>
    <row r="109" spans="1:8" ht="20.100000000000001" customHeight="1" x14ac:dyDescent="0.25">
      <c r="A109" s="2" t="s">
        <v>2</v>
      </c>
      <c r="B109" s="2">
        <v>6528</v>
      </c>
      <c r="C109" s="2"/>
      <c r="D109" s="3"/>
      <c r="E109" s="2">
        <v>2172</v>
      </c>
      <c r="F109" s="3">
        <f>SUM(E109/B109)</f>
        <v>0.3327205882352941</v>
      </c>
      <c r="G109" s="2">
        <v>427</v>
      </c>
      <c r="H109" s="3">
        <f>SUM(G109/E109)</f>
        <v>0.19659300184162062</v>
      </c>
    </row>
    <row r="110" spans="1:8" ht="20.100000000000001" customHeight="1" x14ac:dyDescent="0.25">
      <c r="A110" s="2" t="s">
        <v>158</v>
      </c>
      <c r="B110" s="2">
        <v>1455</v>
      </c>
      <c r="C110" s="2"/>
      <c r="D110" s="3"/>
      <c r="E110" s="2">
        <v>300</v>
      </c>
      <c r="F110" s="3">
        <f>SUM(E110/B110)</f>
        <v>0.20618556701030927</v>
      </c>
      <c r="G110" s="2">
        <v>42</v>
      </c>
      <c r="H110" s="3">
        <f>SUM(G110/E110)</f>
        <v>0.14000000000000001</v>
      </c>
    </row>
    <row r="111" spans="1:8" ht="20.100000000000001" customHeight="1" x14ac:dyDescent="0.25">
      <c r="A111" s="2" t="s">
        <v>188</v>
      </c>
      <c r="B111" s="2">
        <v>487</v>
      </c>
      <c r="C111" s="2">
        <v>113</v>
      </c>
      <c r="D111" s="3">
        <f>SUM(C111/B111)</f>
        <v>0.23203285420944558</v>
      </c>
      <c r="E111" s="2">
        <v>59</v>
      </c>
      <c r="F111" s="3">
        <f>SUM(E111/B111)</f>
        <v>0.12114989733059549</v>
      </c>
      <c r="G111" s="2">
        <v>0</v>
      </c>
      <c r="H111" s="3">
        <f>SUM(G111/E111)</f>
        <v>0</v>
      </c>
    </row>
    <row r="112" spans="1:8" ht="20.100000000000001" customHeight="1" x14ac:dyDescent="0.25">
      <c r="A112" s="2" t="s">
        <v>69</v>
      </c>
      <c r="B112" s="2">
        <v>931</v>
      </c>
      <c r="C112" s="2" t="s">
        <v>198</v>
      </c>
      <c r="D112" s="3"/>
      <c r="E112" s="2">
        <v>420</v>
      </c>
      <c r="F112" s="3">
        <f>SUM(E112/B112)</f>
        <v>0.45112781954887216</v>
      </c>
      <c r="G112" s="2">
        <v>77</v>
      </c>
      <c r="H112" s="3">
        <f>SUM(G112/E112)</f>
        <v>0.18333333333333332</v>
      </c>
    </row>
    <row r="113" spans="1:8" ht="20.100000000000001" customHeight="1" x14ac:dyDescent="0.25">
      <c r="A113" s="2" t="s">
        <v>145</v>
      </c>
      <c r="B113" s="2">
        <v>134</v>
      </c>
      <c r="C113" s="2">
        <v>18</v>
      </c>
      <c r="D113" s="3">
        <f>SUM(C113/B113)</f>
        <v>0.13432835820895522</v>
      </c>
      <c r="E113" s="2">
        <v>31</v>
      </c>
      <c r="F113" s="3">
        <f>SUM(E113/B113)</f>
        <v>0.23134328358208955</v>
      </c>
      <c r="G113" s="2">
        <v>1</v>
      </c>
      <c r="H113" s="3">
        <f>SUM(G113/E113)</f>
        <v>3.2258064516129031E-2</v>
      </c>
    </row>
    <row r="114" spans="1:8" ht="20.100000000000001" customHeight="1" x14ac:dyDescent="0.25">
      <c r="A114" s="2" t="s">
        <v>44</v>
      </c>
      <c r="B114" s="2">
        <v>1233</v>
      </c>
      <c r="C114" s="2"/>
      <c r="D114" s="3"/>
      <c r="E114" s="2">
        <v>538</v>
      </c>
      <c r="F114" s="3">
        <f>SUM(E114/B114)</f>
        <v>0.43633414436334145</v>
      </c>
      <c r="G114" s="2">
        <v>66</v>
      </c>
      <c r="H114" s="3">
        <f>SUM(G114/E114)</f>
        <v>0.12267657992565056</v>
      </c>
    </row>
    <row r="115" spans="1:8" ht="20.100000000000001" customHeight="1" x14ac:dyDescent="0.25">
      <c r="A115" s="2" t="s">
        <v>109</v>
      </c>
      <c r="B115" s="2">
        <v>425</v>
      </c>
      <c r="C115" s="2">
        <v>60</v>
      </c>
      <c r="D115" s="3">
        <f>SUM(C115/B115)</f>
        <v>0.14117647058823529</v>
      </c>
      <c r="E115" s="2"/>
      <c r="F115" s="3"/>
      <c r="G115" s="2"/>
      <c r="H115" s="3"/>
    </row>
    <row r="116" spans="1:8" ht="20.100000000000001" customHeight="1" x14ac:dyDescent="0.25">
      <c r="A116" s="2" t="s">
        <v>49</v>
      </c>
      <c r="B116" s="2">
        <v>3296</v>
      </c>
      <c r="C116" s="2"/>
      <c r="D116" s="3"/>
      <c r="E116" s="2">
        <v>627</v>
      </c>
      <c r="F116" s="3">
        <f>SUM(E116/B116)</f>
        <v>0.19023058252427186</v>
      </c>
      <c r="G116" s="2">
        <v>69</v>
      </c>
      <c r="H116" s="3">
        <f>SUM(G116/E116)</f>
        <v>0.11004784688995216</v>
      </c>
    </row>
    <row r="117" spans="1:8" ht="20.100000000000001" customHeight="1" x14ac:dyDescent="0.25">
      <c r="A117" s="2" t="s">
        <v>92</v>
      </c>
      <c r="B117" s="2">
        <v>1224</v>
      </c>
      <c r="C117" s="2">
        <v>83</v>
      </c>
      <c r="D117" s="3">
        <f>SUM(C117/B117)</f>
        <v>6.7810457516339864E-2</v>
      </c>
      <c r="E117" s="2"/>
      <c r="F117" s="3"/>
      <c r="G117" s="2"/>
      <c r="H117" s="3"/>
    </row>
    <row r="118" spans="1:8" ht="20.100000000000001" customHeight="1" x14ac:dyDescent="0.25">
      <c r="A118" s="2" t="s">
        <v>72</v>
      </c>
      <c r="B118" s="2">
        <v>768</v>
      </c>
      <c r="C118" s="2"/>
      <c r="D118" s="3"/>
      <c r="E118" s="2">
        <v>246</v>
      </c>
      <c r="F118" s="3">
        <f>SUM(E118/B118)</f>
        <v>0.3203125</v>
      </c>
      <c r="G118" s="2">
        <v>51</v>
      </c>
      <c r="H118" s="3">
        <f>SUM(G118/E118)</f>
        <v>0.2073170731707317</v>
      </c>
    </row>
    <row r="119" spans="1:8" ht="20.100000000000001" customHeight="1" x14ac:dyDescent="0.25">
      <c r="A119" s="2" t="s">
        <v>130</v>
      </c>
      <c r="B119" s="2">
        <v>3048</v>
      </c>
      <c r="C119" s="2">
        <v>100</v>
      </c>
      <c r="D119" s="3">
        <f>SUM(C119/B119)</f>
        <v>3.2808398950131233E-2</v>
      </c>
      <c r="E119" s="2">
        <v>722</v>
      </c>
      <c r="F119" s="3">
        <f>SUM(E119/B119)</f>
        <v>0.23687664041994749</v>
      </c>
      <c r="G119" s="2">
        <v>120</v>
      </c>
      <c r="H119" s="3">
        <f>SUM(G119/E119)</f>
        <v>0.16620498614958448</v>
      </c>
    </row>
    <row r="120" spans="1:8" ht="20.100000000000001" customHeight="1" x14ac:dyDescent="0.25">
      <c r="A120" s="2" t="s">
        <v>63</v>
      </c>
      <c r="B120" s="2">
        <v>121</v>
      </c>
      <c r="C120" s="2">
        <v>23</v>
      </c>
      <c r="D120" s="3">
        <f>SUM(C120/B120)</f>
        <v>0.19008264462809918</v>
      </c>
      <c r="E120" s="2"/>
      <c r="F120" s="3"/>
      <c r="G120" s="2"/>
      <c r="H120" s="3"/>
    </row>
    <row r="121" spans="1:8" ht="20.100000000000001" customHeight="1" x14ac:dyDescent="0.25">
      <c r="A121" s="2" t="s">
        <v>117</v>
      </c>
      <c r="B121" s="2">
        <v>2915</v>
      </c>
      <c r="C121" s="2"/>
      <c r="D121" s="3"/>
      <c r="E121" s="2">
        <v>1046</v>
      </c>
      <c r="F121" s="3">
        <f>SUM(E121/B121)</f>
        <v>0.35883361921097773</v>
      </c>
      <c r="G121" s="2">
        <v>44</v>
      </c>
      <c r="H121" s="3">
        <f>SUM(G121/E121)</f>
        <v>4.2065009560229447E-2</v>
      </c>
    </row>
    <row r="122" spans="1:8" ht="20.100000000000001" customHeight="1" x14ac:dyDescent="0.25">
      <c r="A122" s="2" t="s">
        <v>143</v>
      </c>
      <c r="B122" s="2">
        <v>772</v>
      </c>
      <c r="C122" s="2">
        <v>81</v>
      </c>
      <c r="D122" s="3">
        <f>SUM(C122/B122)</f>
        <v>0.10492227979274611</v>
      </c>
      <c r="E122" s="2"/>
      <c r="F122" s="3"/>
      <c r="G122" s="2"/>
      <c r="H122" s="3"/>
    </row>
    <row r="123" spans="1:8" ht="20.100000000000001" customHeight="1" x14ac:dyDescent="0.25">
      <c r="A123" s="2" t="s">
        <v>56</v>
      </c>
      <c r="B123" s="2">
        <v>799</v>
      </c>
      <c r="C123" s="2">
        <v>105</v>
      </c>
      <c r="D123" s="3">
        <f>SUM(C123/B123)</f>
        <v>0.13141426783479349</v>
      </c>
      <c r="E123" s="2">
        <v>231</v>
      </c>
      <c r="F123" s="3">
        <f>SUM(E123/B123)</f>
        <v>0.28911138923654567</v>
      </c>
      <c r="G123" s="2">
        <v>17</v>
      </c>
      <c r="H123" s="3">
        <f>SUM(G123/E123)</f>
        <v>7.3593073593073599E-2</v>
      </c>
    </row>
    <row r="124" spans="1:8" ht="20.100000000000001" customHeight="1" x14ac:dyDescent="0.25">
      <c r="A124" s="2" t="s">
        <v>125</v>
      </c>
      <c r="B124" s="2">
        <v>1016</v>
      </c>
      <c r="C124" s="2" t="s">
        <v>198</v>
      </c>
      <c r="D124" s="3"/>
      <c r="E124" s="2">
        <v>308</v>
      </c>
      <c r="F124" s="3">
        <f>SUM(E124/B124)</f>
        <v>0.30314960629921262</v>
      </c>
      <c r="G124" s="2">
        <v>25</v>
      </c>
      <c r="H124" s="3">
        <f>SUM(G124/E124)</f>
        <v>8.1168831168831168E-2</v>
      </c>
    </row>
    <row r="125" spans="1:8" ht="20.100000000000001" customHeight="1" x14ac:dyDescent="0.25">
      <c r="A125" s="2" t="s">
        <v>82</v>
      </c>
      <c r="B125" s="2">
        <v>659</v>
      </c>
      <c r="C125" s="2">
        <v>116</v>
      </c>
      <c r="D125" s="3">
        <f>SUM(C125/B125)</f>
        <v>0.17602427921092564</v>
      </c>
      <c r="E125" s="2"/>
      <c r="F125" s="3"/>
      <c r="G125" s="2"/>
      <c r="H125" s="3"/>
    </row>
    <row r="126" spans="1:8" ht="20.100000000000001" customHeight="1" x14ac:dyDescent="0.25">
      <c r="A126" s="2" t="s">
        <v>11</v>
      </c>
      <c r="B126" s="2">
        <v>295</v>
      </c>
      <c r="C126" s="2">
        <v>75</v>
      </c>
      <c r="D126" s="3">
        <f>SUM(C126/B126)</f>
        <v>0.25423728813559321</v>
      </c>
      <c r="E126" s="2"/>
      <c r="F126" s="3"/>
      <c r="G126" s="2"/>
      <c r="H126" s="3"/>
    </row>
    <row r="127" spans="1:8" ht="20.100000000000001" customHeight="1" x14ac:dyDescent="0.25">
      <c r="A127" s="2" t="s">
        <v>103</v>
      </c>
      <c r="B127" s="2">
        <v>363</v>
      </c>
      <c r="C127" s="2">
        <v>50</v>
      </c>
      <c r="D127" s="3">
        <f>SUM(C127/B127)</f>
        <v>0.13774104683195593</v>
      </c>
      <c r="E127" s="2"/>
      <c r="F127" s="3"/>
      <c r="G127" s="2"/>
      <c r="H127" s="3"/>
    </row>
    <row r="128" spans="1:8" ht="20.100000000000001" customHeight="1" x14ac:dyDescent="0.25">
      <c r="A128" s="2" t="s">
        <v>159</v>
      </c>
      <c r="B128" s="2">
        <v>2134</v>
      </c>
      <c r="C128" s="2">
        <v>70</v>
      </c>
      <c r="D128" s="3">
        <f>SUM(C128/B128)</f>
        <v>3.280224929709466E-2</v>
      </c>
      <c r="E128" s="2">
        <v>348</v>
      </c>
      <c r="F128" s="3">
        <f>SUM(E128/B128)</f>
        <v>0.16307403936269915</v>
      </c>
      <c r="G128" s="2">
        <v>14</v>
      </c>
      <c r="H128" s="3">
        <f>SUM(G128/E128)</f>
        <v>4.0229885057471264E-2</v>
      </c>
    </row>
    <row r="129" spans="1:8" ht="20.100000000000001" customHeight="1" x14ac:dyDescent="0.25">
      <c r="A129" s="2" t="s">
        <v>160</v>
      </c>
      <c r="B129" s="2">
        <v>893</v>
      </c>
      <c r="C129" s="2">
        <v>75</v>
      </c>
      <c r="D129" s="3">
        <f>SUM(C129/B129)</f>
        <v>8.3986562150055996E-2</v>
      </c>
      <c r="E129" s="2">
        <v>214</v>
      </c>
      <c r="F129" s="3">
        <f>SUM(E129/B129)</f>
        <v>0.23964165733482642</v>
      </c>
      <c r="G129" s="2">
        <v>11</v>
      </c>
      <c r="H129" s="3">
        <f>SUM(G129/E129)</f>
        <v>5.1401869158878503E-2</v>
      </c>
    </row>
    <row r="130" spans="1:8" ht="20.100000000000001" customHeight="1" x14ac:dyDescent="0.25">
      <c r="A130" s="2" t="s">
        <v>111</v>
      </c>
      <c r="B130" s="2">
        <v>419</v>
      </c>
      <c r="C130" s="2">
        <v>50</v>
      </c>
      <c r="D130" s="3">
        <f>SUM(C130/B130)</f>
        <v>0.11933174224343675</v>
      </c>
      <c r="E130" s="2">
        <v>133</v>
      </c>
      <c r="F130" s="3">
        <f>SUM(E130/B130)</f>
        <v>0.31742243436754175</v>
      </c>
      <c r="G130" s="2">
        <v>21</v>
      </c>
      <c r="H130" s="3">
        <f>SUM(G130/E130)</f>
        <v>0.15789473684210525</v>
      </c>
    </row>
    <row r="131" spans="1:8" ht="20.100000000000001" customHeight="1" x14ac:dyDescent="0.25">
      <c r="A131" s="2" t="s">
        <v>23</v>
      </c>
      <c r="B131" s="2">
        <v>749</v>
      </c>
      <c r="C131" s="2">
        <v>141</v>
      </c>
      <c r="D131" s="3">
        <f>SUM(C131/B131)</f>
        <v>0.18825100133511349</v>
      </c>
      <c r="E131" s="2"/>
      <c r="F131" s="3"/>
      <c r="G131" s="2"/>
      <c r="H131" s="3"/>
    </row>
    <row r="132" spans="1:8" ht="20.100000000000001" customHeight="1" x14ac:dyDescent="0.25">
      <c r="A132" s="2" t="s">
        <v>161</v>
      </c>
      <c r="B132" s="2">
        <v>2170</v>
      </c>
      <c r="C132" s="2"/>
      <c r="D132" s="3"/>
      <c r="E132" s="2">
        <v>555</v>
      </c>
      <c r="F132" s="3">
        <f>SUM(E132/B132)</f>
        <v>0.25576036866359447</v>
      </c>
      <c r="G132" s="2">
        <v>33</v>
      </c>
      <c r="H132" s="3">
        <f>SUM(G132/E132)</f>
        <v>5.9459459459459463E-2</v>
      </c>
    </row>
    <row r="133" spans="1:8" ht="20.100000000000001" customHeight="1" x14ac:dyDescent="0.25">
      <c r="A133" s="2" t="s">
        <v>96</v>
      </c>
      <c r="B133" s="2">
        <v>1051</v>
      </c>
      <c r="C133" s="2">
        <v>103</v>
      </c>
      <c r="D133" s="3">
        <f>SUM(C133/B133)</f>
        <v>9.800190294957184E-2</v>
      </c>
      <c r="E133" s="2">
        <v>191</v>
      </c>
      <c r="F133" s="3">
        <f>SUM(E133/B133)</f>
        <v>0.18173168411037108</v>
      </c>
      <c r="G133" s="2">
        <v>11</v>
      </c>
      <c r="H133" s="3">
        <f>SUM(G133/E133)</f>
        <v>5.7591623036649213E-2</v>
      </c>
    </row>
    <row r="134" spans="1:8" ht="20.100000000000001" customHeight="1" x14ac:dyDescent="0.25">
      <c r="A134" s="2" t="s">
        <v>48</v>
      </c>
      <c r="B134" s="2">
        <v>3012</v>
      </c>
      <c r="C134" s="2"/>
      <c r="D134" s="3"/>
      <c r="E134" s="2">
        <v>534</v>
      </c>
      <c r="F134" s="3">
        <f>SUM(E134/B134)</f>
        <v>0.17729083665338646</v>
      </c>
      <c r="G134" s="2">
        <v>72</v>
      </c>
      <c r="H134" s="3">
        <f>SUM(G134/E134)</f>
        <v>0.1348314606741573</v>
      </c>
    </row>
    <row r="135" spans="1:8" ht="20.100000000000001" customHeight="1" x14ac:dyDescent="0.25">
      <c r="A135" s="2" t="s">
        <v>146</v>
      </c>
      <c r="B135" s="2">
        <v>501</v>
      </c>
      <c r="C135" s="2">
        <v>106</v>
      </c>
      <c r="D135" s="3">
        <f>SUM(C135/B135)</f>
        <v>0.21157684630738524</v>
      </c>
      <c r="E135" s="2"/>
      <c r="F135" s="3"/>
      <c r="G135" s="2"/>
      <c r="H135" s="3"/>
    </row>
    <row r="136" spans="1:8" ht="20.100000000000001" customHeight="1" x14ac:dyDescent="0.25">
      <c r="A136" s="2" t="s">
        <v>76</v>
      </c>
      <c r="B136" s="2">
        <v>495</v>
      </c>
      <c r="C136" s="2"/>
      <c r="D136" s="3"/>
      <c r="E136" s="2">
        <v>208</v>
      </c>
      <c r="F136" s="3">
        <f>SUM(E136/B136)</f>
        <v>0.42020202020202019</v>
      </c>
      <c r="G136" s="2">
        <v>15</v>
      </c>
      <c r="H136" s="3">
        <f>SUM(G136/E136)</f>
        <v>7.2115384615384609E-2</v>
      </c>
    </row>
    <row r="137" spans="1:8" ht="20.100000000000001" customHeight="1" x14ac:dyDescent="0.25">
      <c r="A137" s="2" t="s">
        <v>93</v>
      </c>
      <c r="B137" s="2">
        <v>1516</v>
      </c>
      <c r="C137" s="2" t="s">
        <v>198</v>
      </c>
      <c r="D137" s="3"/>
      <c r="E137" s="2">
        <v>330</v>
      </c>
      <c r="F137" s="3">
        <f>SUM(E137/B137)</f>
        <v>0.21767810026385223</v>
      </c>
      <c r="G137" s="2">
        <v>54</v>
      </c>
      <c r="H137" s="3">
        <f>SUM(G137/E137)</f>
        <v>0.16363636363636364</v>
      </c>
    </row>
    <row r="138" spans="1:8" ht="20.100000000000001" customHeight="1" x14ac:dyDescent="0.25">
      <c r="A138" s="2" t="s">
        <v>105</v>
      </c>
      <c r="B138" s="2">
        <v>2957</v>
      </c>
      <c r="C138" s="2">
        <v>200</v>
      </c>
      <c r="D138" s="3">
        <f>SUM(C138/B138)</f>
        <v>6.7636117686844771E-2</v>
      </c>
      <c r="E138" s="2">
        <v>1070</v>
      </c>
      <c r="F138" s="3">
        <f>SUM(E138/B138)</f>
        <v>0.36185322962461952</v>
      </c>
      <c r="G138" s="2">
        <v>265</v>
      </c>
      <c r="H138" s="3">
        <f>SUM(G138/E138)</f>
        <v>0.24766355140186916</v>
      </c>
    </row>
    <row r="139" spans="1:8" ht="20.100000000000001" customHeight="1" x14ac:dyDescent="0.25">
      <c r="A139" s="2" t="s">
        <v>85</v>
      </c>
      <c r="B139" s="2">
        <v>748</v>
      </c>
      <c r="C139" s="2">
        <v>100</v>
      </c>
      <c r="D139" s="3">
        <f>SUM(C139/B139)</f>
        <v>0.13368983957219252</v>
      </c>
      <c r="E139" s="2"/>
      <c r="F139" s="3"/>
      <c r="G139" s="2"/>
      <c r="H139" s="3"/>
    </row>
    <row r="140" spans="1:8" ht="20.100000000000001" customHeight="1" x14ac:dyDescent="0.25">
      <c r="A140" s="2" t="s">
        <v>110</v>
      </c>
      <c r="B140" s="2">
        <v>3480</v>
      </c>
      <c r="C140" s="2">
        <v>105</v>
      </c>
      <c r="D140" s="3">
        <f>SUM(C140/B140)</f>
        <v>3.017241379310345E-2</v>
      </c>
      <c r="E140" s="2">
        <v>505</v>
      </c>
      <c r="F140" s="3">
        <f>SUM(E140/B140)</f>
        <v>0.14511494252873564</v>
      </c>
      <c r="G140" s="2">
        <v>46</v>
      </c>
      <c r="H140" s="3">
        <f>SUM(G140/E140)</f>
        <v>9.1089108910891087E-2</v>
      </c>
    </row>
    <row r="141" spans="1:8" ht="20.100000000000001" customHeight="1" x14ac:dyDescent="0.25">
      <c r="A141" s="2" t="s">
        <v>171</v>
      </c>
      <c r="B141" s="2">
        <v>527</v>
      </c>
      <c r="C141" s="2">
        <v>75</v>
      </c>
      <c r="D141" s="3">
        <f>SUM(C141/B141)</f>
        <v>0.14231499051233396</v>
      </c>
      <c r="E141" s="2">
        <v>170</v>
      </c>
      <c r="F141" s="3">
        <f>SUM(E141/B141)</f>
        <v>0.32258064516129031</v>
      </c>
      <c r="G141" s="2">
        <v>31</v>
      </c>
      <c r="H141" s="3">
        <f>SUM(G141/E141)</f>
        <v>0.18235294117647058</v>
      </c>
    </row>
    <row r="142" spans="1:8" ht="20.100000000000001" customHeight="1" x14ac:dyDescent="0.25">
      <c r="A142" s="2" t="s">
        <v>15</v>
      </c>
      <c r="B142" s="2">
        <v>2050</v>
      </c>
      <c r="C142" s="2">
        <v>142</v>
      </c>
      <c r="D142" s="3">
        <f>SUM(C142/B142)</f>
        <v>6.9268292682926835E-2</v>
      </c>
      <c r="E142" s="2">
        <v>344</v>
      </c>
      <c r="F142" s="3">
        <f>SUM(E142/B142)</f>
        <v>0.1678048780487805</v>
      </c>
      <c r="G142" s="2">
        <v>20</v>
      </c>
      <c r="H142" s="3">
        <f>SUM(G142/E142)</f>
        <v>5.8139534883720929E-2</v>
      </c>
    </row>
    <row r="143" spans="1:8" ht="20.100000000000001" customHeight="1" x14ac:dyDescent="0.25">
      <c r="A143" s="2" t="s">
        <v>172</v>
      </c>
      <c r="B143" s="2">
        <v>491</v>
      </c>
      <c r="C143" s="2"/>
      <c r="D143" s="3"/>
      <c r="E143" s="2">
        <v>184</v>
      </c>
      <c r="F143" s="3">
        <f>SUM(E143/B143)</f>
        <v>0.37474541751527496</v>
      </c>
      <c r="G143" s="2">
        <v>41</v>
      </c>
      <c r="H143" s="3">
        <f>SUM(G143/E143)</f>
        <v>0.22282608695652173</v>
      </c>
    </row>
    <row r="144" spans="1:8" ht="20.100000000000001" customHeight="1" x14ac:dyDescent="0.25">
      <c r="A144" s="2" t="s">
        <v>189</v>
      </c>
      <c r="B144" s="2">
        <v>2694</v>
      </c>
      <c r="C144" s="2" t="s">
        <v>198</v>
      </c>
      <c r="D144" s="3"/>
      <c r="E144" s="2">
        <v>982</v>
      </c>
      <c r="F144" s="3">
        <f>SUM(E144/B144)</f>
        <v>0.36451373422420191</v>
      </c>
      <c r="G144" s="2">
        <v>95</v>
      </c>
      <c r="H144" s="3">
        <f>SUM(G144/E144)</f>
        <v>9.6741344195519344E-2</v>
      </c>
    </row>
    <row r="145" spans="1:8" ht="20.100000000000001" customHeight="1" x14ac:dyDescent="0.25">
      <c r="A145" s="2" t="s">
        <v>83</v>
      </c>
      <c r="B145" s="2">
        <v>873</v>
      </c>
      <c r="C145" s="2">
        <v>108</v>
      </c>
      <c r="D145" s="3">
        <f>SUM(C145/B145)</f>
        <v>0.12371134020618557</v>
      </c>
      <c r="E145" s="2">
        <v>232</v>
      </c>
      <c r="F145" s="3">
        <f>SUM(E145/B145)</f>
        <v>0.26575028636884307</v>
      </c>
      <c r="G145" s="2">
        <v>28</v>
      </c>
      <c r="H145" s="3">
        <f>SUM(G145/E145)</f>
        <v>0.1206896551724138</v>
      </c>
    </row>
    <row r="146" spans="1:8" ht="20.100000000000001" customHeight="1" x14ac:dyDescent="0.25">
      <c r="A146" s="2" t="s">
        <v>162</v>
      </c>
      <c r="B146" s="2">
        <v>66</v>
      </c>
      <c r="C146" s="2">
        <v>1</v>
      </c>
      <c r="D146" s="3">
        <f>SUM(C146/B146)</f>
        <v>1.5151515151515152E-2</v>
      </c>
      <c r="E146" s="2"/>
      <c r="F146" s="3"/>
      <c r="G146" s="2"/>
      <c r="H146" s="3"/>
    </row>
    <row r="147" spans="1:8" ht="20.100000000000001" customHeight="1" x14ac:dyDescent="0.25">
      <c r="A147" s="2" t="s">
        <v>163</v>
      </c>
      <c r="B147" s="2">
        <v>2473</v>
      </c>
      <c r="C147" s="2">
        <v>95</v>
      </c>
      <c r="D147" s="3">
        <f>SUM(C147/B147)</f>
        <v>3.8414880711686208E-2</v>
      </c>
      <c r="E147" s="2">
        <v>544</v>
      </c>
      <c r="F147" s="3">
        <f>SUM(E147/B147)</f>
        <v>0.21997573797007683</v>
      </c>
      <c r="G147" s="2">
        <v>38</v>
      </c>
      <c r="H147" s="3">
        <f>SUM(G147/E147)</f>
        <v>6.985294117647059E-2</v>
      </c>
    </row>
    <row r="148" spans="1:8" ht="20.100000000000001" customHeight="1" x14ac:dyDescent="0.25">
      <c r="A148" s="2" t="s">
        <v>164</v>
      </c>
      <c r="B148" s="2">
        <v>1017</v>
      </c>
      <c r="C148" s="2"/>
      <c r="D148" s="3"/>
      <c r="E148" s="2">
        <v>137</v>
      </c>
      <c r="F148" s="3">
        <f>SUM(E148/B148)</f>
        <v>0.13470993117010815</v>
      </c>
      <c r="G148" s="2">
        <v>4</v>
      </c>
      <c r="H148" s="3">
        <f>SUM(G148/E148)</f>
        <v>2.9197080291970802E-2</v>
      </c>
    </row>
    <row r="149" spans="1:8" ht="20.100000000000001" customHeight="1" x14ac:dyDescent="0.25">
      <c r="A149" s="2" t="s">
        <v>190</v>
      </c>
      <c r="B149" s="2">
        <v>451</v>
      </c>
      <c r="C149" s="2">
        <v>90</v>
      </c>
      <c r="D149" s="3">
        <f>SUM(C149/B149)</f>
        <v>0.19955654101995565</v>
      </c>
      <c r="E149" s="2">
        <v>91</v>
      </c>
      <c r="F149" s="3">
        <f>SUM(E149/B149)</f>
        <v>0.20177383592017739</v>
      </c>
      <c r="G149" s="2">
        <v>1</v>
      </c>
      <c r="H149" s="3">
        <f>SUM(G149/E149)</f>
        <v>1.098901098901099E-2</v>
      </c>
    </row>
    <row r="150" spans="1:8" ht="20.100000000000001" customHeight="1" x14ac:dyDescent="0.25">
      <c r="A150" s="2" t="s">
        <v>165</v>
      </c>
      <c r="B150" s="2">
        <v>868</v>
      </c>
      <c r="C150" s="2"/>
      <c r="D150" s="3"/>
      <c r="E150" s="2">
        <v>260</v>
      </c>
      <c r="F150" s="3">
        <f>SUM(E150/B150)</f>
        <v>0.29953917050691242</v>
      </c>
      <c r="G150" s="2">
        <v>42</v>
      </c>
      <c r="H150" s="3">
        <f>SUM(G150/E150)</f>
        <v>0.16153846153846155</v>
      </c>
    </row>
    <row r="151" spans="1:8" ht="20.100000000000001" customHeight="1" x14ac:dyDescent="0.25">
      <c r="A151" s="2" t="s">
        <v>200</v>
      </c>
      <c r="B151" s="2">
        <v>11678</v>
      </c>
      <c r="C151" s="2"/>
      <c r="D151" s="3"/>
      <c r="E151" s="2">
        <v>2701</v>
      </c>
      <c r="F151" s="3">
        <f>SUM(E151/B151)</f>
        <v>0.23128960438431237</v>
      </c>
      <c r="G151" s="2">
        <v>474</v>
      </c>
      <c r="H151" s="3">
        <f>SUM(G151/E151)</f>
        <v>0.1754905590522029</v>
      </c>
    </row>
    <row r="152" spans="1:8" ht="20.100000000000001" customHeight="1" x14ac:dyDescent="0.25">
      <c r="A152" s="2" t="s">
        <v>43</v>
      </c>
      <c r="B152" s="2">
        <v>1345</v>
      </c>
      <c r="C152" s="2">
        <v>89</v>
      </c>
      <c r="D152" s="3">
        <f>SUM(C152/B152)</f>
        <v>6.6171003717472116E-2</v>
      </c>
      <c r="E152" s="2">
        <v>621</v>
      </c>
      <c r="F152" s="3">
        <f>SUM(E152/B152)</f>
        <v>0.4617100371747212</v>
      </c>
      <c r="G152" s="2">
        <v>105</v>
      </c>
      <c r="H152" s="3">
        <f>SUM(G152/E152)</f>
        <v>0.16908212560386474</v>
      </c>
    </row>
    <row r="153" spans="1:8" ht="20.100000000000001" customHeight="1" x14ac:dyDescent="0.25">
      <c r="A153" s="2" t="s">
        <v>112</v>
      </c>
      <c r="B153" s="2">
        <v>6615</v>
      </c>
      <c r="C153" s="2" t="s">
        <v>198</v>
      </c>
      <c r="D153" s="3"/>
      <c r="E153" s="2">
        <v>1396</v>
      </c>
      <c r="F153" s="3">
        <f>SUM(E153/B153)</f>
        <v>0.21103552532123962</v>
      </c>
      <c r="G153" s="2">
        <v>234</v>
      </c>
      <c r="H153" s="3">
        <f>SUM(G153/E153)</f>
        <v>0.16762177650429799</v>
      </c>
    </row>
    <row r="154" spans="1:8" ht="20.100000000000001" customHeight="1" x14ac:dyDescent="0.25">
      <c r="A154" s="2" t="s">
        <v>191</v>
      </c>
      <c r="B154" s="2">
        <v>3812</v>
      </c>
      <c r="C154" s="2"/>
      <c r="D154" s="3"/>
      <c r="E154" s="2">
        <v>996</v>
      </c>
      <c r="F154" s="3">
        <f>SUM(E154/B154)</f>
        <v>0.26128016789087094</v>
      </c>
      <c r="G154" s="2">
        <v>152</v>
      </c>
      <c r="H154" s="3">
        <f>SUM(G154/E154)</f>
        <v>0.15261044176706828</v>
      </c>
    </row>
    <row r="155" spans="1:8" ht="20.100000000000001" customHeight="1" x14ac:dyDescent="0.25">
      <c r="A155" s="2" t="s">
        <v>91</v>
      </c>
      <c r="B155" s="2">
        <v>4359</v>
      </c>
      <c r="C155" s="2" t="s">
        <v>198</v>
      </c>
      <c r="D155" s="3"/>
      <c r="E155" s="2">
        <v>718</v>
      </c>
      <c r="F155" s="3">
        <f>SUM(E155/B155)</f>
        <v>0.16471667813718743</v>
      </c>
      <c r="G155" s="2">
        <v>75</v>
      </c>
      <c r="H155" s="3">
        <f>SUM(G155/E155)</f>
        <v>0.10445682451253482</v>
      </c>
    </row>
    <row r="156" spans="1:8" ht="20.100000000000001" customHeight="1" x14ac:dyDescent="0.25">
      <c r="A156" s="2" t="s">
        <v>166</v>
      </c>
      <c r="B156" s="2">
        <v>5023</v>
      </c>
      <c r="C156" s="2" t="s">
        <v>198</v>
      </c>
      <c r="D156" s="3"/>
      <c r="E156" s="2">
        <v>1053</v>
      </c>
      <c r="F156" s="3">
        <f>SUM(E156/B156)</f>
        <v>0.20963567589090185</v>
      </c>
      <c r="G156" s="2">
        <v>202</v>
      </c>
      <c r="H156" s="3">
        <f>SUM(G156/E156)</f>
        <v>0.19183285849952517</v>
      </c>
    </row>
    <row r="157" spans="1:8" ht="20.100000000000001" customHeight="1" x14ac:dyDescent="0.25">
      <c r="A157" s="2" t="s">
        <v>167</v>
      </c>
      <c r="B157" s="2">
        <v>128</v>
      </c>
      <c r="C157" s="2">
        <v>20</v>
      </c>
      <c r="D157" s="3">
        <f>SUM(C157/B157)</f>
        <v>0.15625</v>
      </c>
      <c r="E157" s="2"/>
      <c r="F157" s="3"/>
      <c r="G157" s="2"/>
      <c r="H157" s="3"/>
    </row>
    <row r="158" spans="1:8" ht="20.100000000000001" customHeight="1" x14ac:dyDescent="0.25">
      <c r="A158" s="2" t="s">
        <v>115</v>
      </c>
      <c r="B158" s="2">
        <v>1298</v>
      </c>
      <c r="C158" s="2">
        <v>176</v>
      </c>
      <c r="D158" s="3">
        <f>SUM(C158/B158)</f>
        <v>0.13559322033898305</v>
      </c>
      <c r="E158" s="2">
        <v>348</v>
      </c>
      <c r="F158" s="3">
        <f>SUM(E158/B158)</f>
        <v>0.26810477657935283</v>
      </c>
      <c r="G158" s="2">
        <v>30</v>
      </c>
      <c r="H158" s="3">
        <f>SUM(G158/E158)</f>
        <v>8.6206896551724144E-2</v>
      </c>
    </row>
    <row r="159" spans="1:8" ht="20.100000000000001" customHeight="1" x14ac:dyDescent="0.25">
      <c r="A159" s="2" t="s">
        <v>12</v>
      </c>
      <c r="B159" s="2">
        <v>494</v>
      </c>
      <c r="C159" s="2">
        <v>57</v>
      </c>
      <c r="D159" s="3">
        <f>SUM(C159/B159)</f>
        <v>0.11538461538461539</v>
      </c>
      <c r="E159" s="2"/>
      <c r="F159" s="3">
        <f>SUM(E159/B159)</f>
        <v>0</v>
      </c>
      <c r="G159" s="2"/>
      <c r="H159" s="3"/>
    </row>
    <row r="160" spans="1:8" ht="20.100000000000001" customHeight="1" x14ac:dyDescent="0.25">
      <c r="A160" s="2" t="s">
        <v>27</v>
      </c>
      <c r="B160" s="2">
        <v>3758</v>
      </c>
      <c r="C160" s="2">
        <v>65</v>
      </c>
      <c r="D160" s="3">
        <f>SUM(C160/B160)</f>
        <v>1.7296434273549762E-2</v>
      </c>
      <c r="E160" s="2">
        <v>490</v>
      </c>
      <c r="F160" s="3">
        <f>SUM(E160/B160)</f>
        <v>0.13038850452368281</v>
      </c>
      <c r="G160" s="2">
        <v>68</v>
      </c>
      <c r="H160" s="3">
        <f>SUM(G160/E160)</f>
        <v>0.13877551020408163</v>
      </c>
    </row>
    <row r="161" spans="1:8" ht="20.100000000000001" customHeight="1" x14ac:dyDescent="0.25">
      <c r="A161" s="2" t="s">
        <v>119</v>
      </c>
      <c r="B161" s="2">
        <v>186</v>
      </c>
      <c r="C161" s="2">
        <v>41</v>
      </c>
      <c r="D161" s="3">
        <f>SUM(C161/B161)</f>
        <v>0.22043010752688172</v>
      </c>
      <c r="E161" s="2"/>
      <c r="F161" s="3"/>
      <c r="G161" s="2"/>
      <c r="H161" s="3"/>
    </row>
    <row r="162" spans="1:8" ht="20.100000000000001" customHeight="1" x14ac:dyDescent="0.25">
      <c r="A162" s="2" t="s">
        <v>59</v>
      </c>
      <c r="B162" s="2">
        <v>2116</v>
      </c>
      <c r="C162" s="2">
        <v>160</v>
      </c>
      <c r="D162" s="3">
        <f>SUM(C162/B162)</f>
        <v>7.5614366729678639E-2</v>
      </c>
      <c r="E162" s="2">
        <v>659</v>
      </c>
      <c r="F162" s="3">
        <f>SUM(E162/B162)</f>
        <v>0.31143667296786387</v>
      </c>
      <c r="G162" s="2">
        <v>62</v>
      </c>
      <c r="H162" s="3">
        <f>SUM(G162/E162)</f>
        <v>9.4081942336874058E-2</v>
      </c>
    </row>
    <row r="163" spans="1:8" ht="20.100000000000001" customHeight="1" x14ac:dyDescent="0.25">
      <c r="A163" s="2" t="s">
        <v>32</v>
      </c>
      <c r="B163" s="2">
        <v>402</v>
      </c>
      <c r="C163" s="2">
        <v>80</v>
      </c>
      <c r="D163" s="3">
        <f>SUM(C163/B163)</f>
        <v>0.19900497512437812</v>
      </c>
      <c r="E163" s="2">
        <v>159</v>
      </c>
      <c r="F163" s="3">
        <f>SUM(E163/B163)</f>
        <v>0.39552238805970147</v>
      </c>
      <c r="G163" s="2">
        <v>37</v>
      </c>
      <c r="H163" s="3">
        <f>SUM(G163/E163)</f>
        <v>0.23270440251572327</v>
      </c>
    </row>
    <row r="164" spans="1:8" ht="20.100000000000001" customHeight="1" x14ac:dyDescent="0.25">
      <c r="A164" s="2" t="s">
        <v>168</v>
      </c>
      <c r="B164" s="2">
        <v>763</v>
      </c>
      <c r="C164" s="2">
        <v>80</v>
      </c>
      <c r="D164" s="3">
        <f>SUM(C164/B164)</f>
        <v>0.10484927916120576</v>
      </c>
      <c r="E164" s="2"/>
      <c r="F164" s="3"/>
      <c r="G164" s="2"/>
      <c r="H164" s="3"/>
    </row>
    <row r="165" spans="1:8" ht="20.100000000000001" customHeight="1" x14ac:dyDescent="0.25">
      <c r="A165" s="2" t="s">
        <v>104</v>
      </c>
      <c r="B165" s="2">
        <v>907</v>
      </c>
      <c r="C165" s="2">
        <v>106</v>
      </c>
      <c r="D165" s="3">
        <f>SUM(C165/B165)</f>
        <v>0.11686879823594266</v>
      </c>
      <c r="E165" s="2"/>
      <c r="F165" s="3"/>
      <c r="G165" s="2"/>
      <c r="H165" s="3"/>
    </row>
    <row r="166" spans="1:8" ht="20.100000000000001" customHeight="1" x14ac:dyDescent="0.25">
      <c r="A166" s="2" t="s">
        <v>122</v>
      </c>
      <c r="B166" s="2">
        <v>945</v>
      </c>
      <c r="C166" s="2">
        <v>58</v>
      </c>
      <c r="D166" s="3">
        <f>SUM(C166/B166)</f>
        <v>6.1375661375661375E-2</v>
      </c>
      <c r="E166" s="2">
        <v>71</v>
      </c>
      <c r="F166" s="3">
        <f>SUM(E166/B166)</f>
        <v>7.5132275132275134E-2</v>
      </c>
      <c r="G166" s="2"/>
      <c r="H166" s="3"/>
    </row>
    <row r="167" spans="1:8" ht="20.100000000000001" customHeight="1" x14ac:dyDescent="0.25">
      <c r="A167" s="2" t="s">
        <v>113</v>
      </c>
      <c r="B167" s="2">
        <v>936</v>
      </c>
      <c r="C167" s="2">
        <v>172</v>
      </c>
      <c r="D167" s="3">
        <f>SUM(C167/B167)</f>
        <v>0.18376068376068377</v>
      </c>
      <c r="E167" s="2"/>
      <c r="F167" s="3"/>
      <c r="G167" s="2"/>
      <c r="H167" s="3"/>
    </row>
    <row r="168" spans="1:8" ht="20.100000000000001" customHeight="1" x14ac:dyDescent="0.25">
      <c r="A168" s="2" t="s">
        <v>97</v>
      </c>
      <c r="B168" s="2">
        <v>2420</v>
      </c>
      <c r="C168" s="2"/>
      <c r="D168" s="3"/>
      <c r="E168" s="2">
        <v>598</v>
      </c>
      <c r="F168" s="3">
        <f>SUM(E168/B168)</f>
        <v>0.24710743801652893</v>
      </c>
      <c r="G168" s="2">
        <v>54</v>
      </c>
      <c r="H168" s="3">
        <f>SUM(G168/E168)</f>
        <v>9.0301003344481601E-2</v>
      </c>
    </row>
    <row r="169" spans="1:8" ht="20.100000000000001" customHeight="1" x14ac:dyDescent="0.25">
      <c r="A169" s="2" t="s">
        <v>192</v>
      </c>
      <c r="B169" s="2">
        <v>482</v>
      </c>
      <c r="C169" s="2">
        <v>58</v>
      </c>
      <c r="D169" s="3">
        <f>SUM(C169/B169)</f>
        <v>0.12033195020746888</v>
      </c>
      <c r="E169" s="2">
        <v>87</v>
      </c>
      <c r="F169" s="3">
        <f>SUM(E169/B169)</f>
        <v>0.18049792531120332</v>
      </c>
      <c r="G169" s="2">
        <v>1</v>
      </c>
      <c r="H169" s="3">
        <f>SUM(G169/E169)</f>
        <v>1.1494252873563218E-2</v>
      </c>
    </row>
    <row r="170" spans="1:8" ht="20.100000000000001" customHeight="1" x14ac:dyDescent="0.25">
      <c r="A170" s="2" t="s">
        <v>54</v>
      </c>
      <c r="B170" s="2">
        <v>1424</v>
      </c>
      <c r="C170" s="2">
        <v>65</v>
      </c>
      <c r="D170" s="3">
        <f>SUM(C170/B170)</f>
        <v>4.5646067415730338E-2</v>
      </c>
      <c r="E170" s="2">
        <v>107</v>
      </c>
      <c r="F170" s="3">
        <f>SUM(E170/B170)</f>
        <v>7.514044943820225E-2</v>
      </c>
      <c r="G170" s="2">
        <v>95</v>
      </c>
      <c r="H170" s="3">
        <f>SUM(G170/E170)</f>
        <v>0.88785046728971961</v>
      </c>
    </row>
    <row r="171" spans="1:8" ht="20.100000000000001" customHeight="1" x14ac:dyDescent="0.25">
      <c r="A171" s="2" t="s">
        <v>35</v>
      </c>
      <c r="B171" s="2">
        <v>667</v>
      </c>
      <c r="C171" s="2">
        <v>70</v>
      </c>
      <c r="D171" s="3">
        <f>SUM(C171/B171)</f>
        <v>0.10494752623688156</v>
      </c>
      <c r="E171" s="2">
        <v>171</v>
      </c>
      <c r="F171" s="3">
        <f>SUM(E171/B171)</f>
        <v>0.25637181409295351</v>
      </c>
      <c r="G171" s="2">
        <v>34</v>
      </c>
      <c r="H171" s="3">
        <f>SUM(G171/E171)</f>
        <v>0.19883040935672514</v>
      </c>
    </row>
    <row r="172" spans="1:8" ht="20.100000000000001" customHeight="1" x14ac:dyDescent="0.25">
      <c r="A172" s="2" t="s">
        <v>81</v>
      </c>
      <c r="B172" s="2">
        <v>1498</v>
      </c>
      <c r="C172" s="2"/>
      <c r="D172" s="3"/>
      <c r="E172" s="2">
        <v>308</v>
      </c>
      <c r="F172" s="3">
        <f>SUM(E172/B172)</f>
        <v>0.20560747663551401</v>
      </c>
      <c r="G172" s="2">
        <v>34</v>
      </c>
      <c r="H172" s="3">
        <f>SUM(G172/E172)</f>
        <v>0.11038961038961038</v>
      </c>
    </row>
    <row r="173" spans="1:8" ht="20.100000000000001" customHeight="1" x14ac:dyDescent="0.25">
      <c r="A173" s="2" t="s">
        <v>17</v>
      </c>
      <c r="B173" s="2">
        <v>495</v>
      </c>
      <c r="C173" s="2">
        <v>45</v>
      </c>
      <c r="D173" s="3">
        <f>SUM(C173/B173)</f>
        <v>9.0909090909090912E-2</v>
      </c>
      <c r="E173" s="2"/>
      <c r="F173" s="3"/>
      <c r="G173" s="2"/>
      <c r="H173" s="3"/>
    </row>
    <row r="174" spans="1:8" ht="20.100000000000001" customHeight="1" x14ac:dyDescent="0.25">
      <c r="A174" s="2" t="s">
        <v>114</v>
      </c>
      <c r="B174" s="2">
        <v>1335</v>
      </c>
      <c r="C174" s="2">
        <v>85</v>
      </c>
      <c r="D174" s="3">
        <f>SUM(C174/B174)</f>
        <v>6.3670411985018729E-2</v>
      </c>
      <c r="E174" s="2">
        <v>250</v>
      </c>
      <c r="F174" s="3">
        <f>SUM(E174/B174)</f>
        <v>0.18726591760299627</v>
      </c>
      <c r="G174" s="2">
        <v>13</v>
      </c>
      <c r="H174" s="3">
        <f>SUM(G174/E174)</f>
        <v>5.1999999999999998E-2</v>
      </c>
    </row>
    <row r="175" spans="1:8" ht="20.100000000000001" customHeight="1" x14ac:dyDescent="0.25">
      <c r="A175" s="2" t="s">
        <v>3</v>
      </c>
      <c r="B175" s="2">
        <v>730</v>
      </c>
      <c r="C175" s="2">
        <v>48</v>
      </c>
      <c r="D175" s="3">
        <f>SUM(C175/B175)</f>
        <v>6.575342465753424E-2</v>
      </c>
      <c r="E175" s="2"/>
      <c r="F175" s="3"/>
      <c r="G175" s="2"/>
      <c r="H175" s="3"/>
    </row>
    <row r="176" spans="1:8" ht="20.100000000000001" customHeight="1" x14ac:dyDescent="0.25">
      <c r="A176" s="2" t="s">
        <v>147</v>
      </c>
      <c r="B176" s="2">
        <v>3670</v>
      </c>
      <c r="C176" s="2"/>
      <c r="D176" s="3"/>
      <c r="E176" s="2">
        <v>803</v>
      </c>
      <c r="F176" s="3">
        <f>SUM(E176/B176)</f>
        <v>0.21880108991825614</v>
      </c>
      <c r="G176" s="2">
        <v>85</v>
      </c>
      <c r="H176" s="3">
        <f>SUM(G176/E176)</f>
        <v>0.10585305105853052</v>
      </c>
    </row>
    <row r="177" spans="1:8" ht="20.100000000000001" customHeight="1" x14ac:dyDescent="0.25">
      <c r="A177" s="2" t="s">
        <v>38</v>
      </c>
      <c r="B177" s="2">
        <v>912</v>
      </c>
      <c r="C177" s="2">
        <v>95</v>
      </c>
      <c r="D177" s="3">
        <f>SUM(C177/B177)</f>
        <v>0.10416666666666667</v>
      </c>
      <c r="E177" s="2">
        <v>121</v>
      </c>
      <c r="F177" s="3">
        <f>SUM(E177/B177)</f>
        <v>0.13267543859649122</v>
      </c>
      <c r="G177" s="2"/>
      <c r="H177" s="3"/>
    </row>
    <row r="178" spans="1:8" ht="20.100000000000001" customHeight="1" x14ac:dyDescent="0.25">
      <c r="A178" s="2" t="s">
        <v>66</v>
      </c>
      <c r="B178" s="2">
        <v>532</v>
      </c>
      <c r="C178" s="2">
        <v>50</v>
      </c>
      <c r="D178" s="3">
        <f>SUM(C178/B178)</f>
        <v>9.3984962406015032E-2</v>
      </c>
      <c r="E178" s="2"/>
      <c r="F178" s="3"/>
      <c r="G178" s="2"/>
      <c r="H178" s="3"/>
    </row>
    <row r="179" spans="1:8" ht="20.100000000000001" customHeight="1" x14ac:dyDescent="0.25">
      <c r="A179" s="2" t="s">
        <v>99</v>
      </c>
      <c r="B179" s="2">
        <v>2084</v>
      </c>
      <c r="C179" s="2" t="s">
        <v>198</v>
      </c>
      <c r="D179" s="3"/>
      <c r="E179" s="2">
        <v>518</v>
      </c>
      <c r="F179" s="3">
        <f>SUM(E179/B179)</f>
        <v>0.24856046065259116</v>
      </c>
      <c r="G179" s="2">
        <v>74</v>
      </c>
      <c r="H179" s="3">
        <f>SUM(G179/E179)</f>
        <v>0.14285714285714285</v>
      </c>
    </row>
    <row r="180" spans="1:8" ht="20.100000000000001" customHeight="1" x14ac:dyDescent="0.25">
      <c r="A180" s="2" t="s">
        <v>107</v>
      </c>
      <c r="B180" s="2">
        <v>464</v>
      </c>
      <c r="C180" s="2">
        <v>40</v>
      </c>
      <c r="D180" s="3">
        <f>SUM(C180/B180)</f>
        <v>8.6206896551724144E-2</v>
      </c>
      <c r="E180" s="2">
        <v>101</v>
      </c>
      <c r="F180" s="3">
        <f>SUM(E180/B180)</f>
        <v>0.21767241379310345</v>
      </c>
      <c r="G180" s="2">
        <v>5</v>
      </c>
      <c r="H180" s="3">
        <f>SUM(G180/E180)</f>
        <v>4.9504950495049507E-2</v>
      </c>
    </row>
    <row r="181" spans="1:8" ht="20.100000000000001" customHeight="1" x14ac:dyDescent="0.25">
      <c r="A181" s="2" t="s">
        <v>193</v>
      </c>
      <c r="B181" s="2">
        <v>1565</v>
      </c>
      <c r="C181" s="2"/>
      <c r="D181" s="3"/>
      <c r="E181" s="2">
        <v>33</v>
      </c>
      <c r="F181" s="3">
        <f>SUM(E181/B181)</f>
        <v>2.1086261980830672E-2</v>
      </c>
      <c r="G181" s="2"/>
      <c r="H181" s="3"/>
    </row>
    <row r="182" spans="1:8" ht="20.100000000000001" customHeight="1" x14ac:dyDescent="0.25">
      <c r="A182" s="2" t="s">
        <v>6</v>
      </c>
      <c r="B182" s="2">
        <v>802</v>
      </c>
      <c r="C182" s="2">
        <v>133</v>
      </c>
      <c r="D182" s="3">
        <f>SUM(C182/B182)</f>
        <v>0.16583541147132169</v>
      </c>
      <c r="E182" s="2"/>
      <c r="F182" s="3"/>
      <c r="G182" s="2"/>
      <c r="H182" s="3"/>
    </row>
    <row r="183" spans="1:8" ht="20.100000000000001" customHeight="1" x14ac:dyDescent="0.25">
      <c r="A183" s="2" t="s">
        <v>121</v>
      </c>
      <c r="B183" s="2">
        <v>380</v>
      </c>
      <c r="C183" s="2">
        <v>54</v>
      </c>
      <c r="D183" s="3">
        <f>SUM(C183/B183)</f>
        <v>0.14210526315789473</v>
      </c>
      <c r="E183" s="2">
        <v>65</v>
      </c>
      <c r="F183" s="3">
        <f>SUM(E183/B183)</f>
        <v>0.17105263157894737</v>
      </c>
      <c r="G183" s="2">
        <v>1</v>
      </c>
      <c r="H183" s="3">
        <f>SUM(G183/E183)</f>
        <v>1.5384615384615385E-2</v>
      </c>
    </row>
    <row r="184" spans="1:8" ht="20.100000000000001" customHeight="1" x14ac:dyDescent="0.25">
      <c r="A184" s="2" t="s">
        <v>135</v>
      </c>
      <c r="B184" s="2">
        <v>1473</v>
      </c>
      <c r="C184" s="2">
        <v>80</v>
      </c>
      <c r="D184" s="3">
        <f>SUM(C184/B184)</f>
        <v>5.4310930074677528E-2</v>
      </c>
      <c r="E184" s="2">
        <v>447</v>
      </c>
      <c r="F184" s="3">
        <f>SUM(E184/B184)</f>
        <v>0.30346232179226068</v>
      </c>
      <c r="G184" s="2">
        <v>63</v>
      </c>
      <c r="H184" s="3">
        <f>SUM(G184/E184)</f>
        <v>0.14093959731543623</v>
      </c>
    </row>
    <row r="185" spans="1:8" ht="20.100000000000001" customHeight="1" x14ac:dyDescent="0.25">
      <c r="A185" s="2" t="s">
        <v>5</v>
      </c>
      <c r="B185" s="2">
        <v>2286</v>
      </c>
      <c r="C185" s="2">
        <v>614</v>
      </c>
      <c r="D185" s="3">
        <f>SUM(C185/B185)</f>
        <v>0.26859142607174102</v>
      </c>
      <c r="E185" s="2">
        <v>54</v>
      </c>
      <c r="F185" s="3">
        <f>SUM(E185/B185)</f>
        <v>2.3622047244094488E-2</v>
      </c>
      <c r="G185" s="2"/>
      <c r="H185" s="3"/>
    </row>
    <row r="186" spans="1:8" ht="20.100000000000001" customHeight="1" x14ac:dyDescent="0.25">
      <c r="A186" s="2" t="s">
        <v>1</v>
      </c>
      <c r="B186" s="2">
        <v>484</v>
      </c>
      <c r="C186" s="2">
        <v>85</v>
      </c>
      <c r="D186" s="3">
        <f>SUM(C186/B186)</f>
        <v>0.1756198347107438</v>
      </c>
      <c r="E186" s="2"/>
      <c r="F186" s="3"/>
      <c r="G186" s="2"/>
      <c r="H186" s="3"/>
    </row>
    <row r="187" spans="1:8" ht="20.100000000000001" customHeight="1" x14ac:dyDescent="0.25">
      <c r="A187" s="2" t="s">
        <v>169</v>
      </c>
      <c r="B187" s="2">
        <v>520</v>
      </c>
      <c r="C187" s="2">
        <v>100</v>
      </c>
      <c r="D187" s="3">
        <f>SUM(C187/B187)</f>
        <v>0.19230769230769232</v>
      </c>
      <c r="E187" s="2">
        <v>106</v>
      </c>
      <c r="F187" s="3">
        <f>SUM(E187/B187)</f>
        <v>0.20384615384615384</v>
      </c>
      <c r="G187" s="2">
        <v>5</v>
      </c>
      <c r="H187" s="3">
        <f>SUM(G187/E187)</f>
        <v>4.716981132075472E-2</v>
      </c>
    </row>
    <row r="188" spans="1:8" ht="20.100000000000001" customHeight="1" x14ac:dyDescent="0.25">
      <c r="A188" s="2" t="s">
        <v>106</v>
      </c>
      <c r="B188" s="2">
        <v>1991</v>
      </c>
      <c r="C188" s="2">
        <v>75</v>
      </c>
      <c r="D188" s="3">
        <f>SUM(C188/B188)</f>
        <v>3.7669512807634357E-2</v>
      </c>
      <c r="E188" s="2">
        <v>464</v>
      </c>
      <c r="F188" s="3">
        <f>SUM(E188/B188)</f>
        <v>0.23304871923656453</v>
      </c>
      <c r="G188" s="2">
        <v>27</v>
      </c>
      <c r="H188" s="3">
        <f>SUM(G188/E188)</f>
        <v>5.8189655172413791E-2</v>
      </c>
    </row>
    <row r="189" spans="1:8" ht="20.100000000000001" customHeight="1" x14ac:dyDescent="0.25">
      <c r="A189" s="2" t="s">
        <v>24</v>
      </c>
      <c r="B189" s="2">
        <v>8234</v>
      </c>
      <c r="C189" s="2">
        <v>75</v>
      </c>
      <c r="D189" s="3">
        <f>SUM(C189/B189)</f>
        <v>9.1085742045178535E-3</v>
      </c>
      <c r="E189" s="2">
        <v>1371</v>
      </c>
      <c r="F189" s="3">
        <f>SUM(E189/B189)</f>
        <v>0.16650473645858635</v>
      </c>
      <c r="G189" s="2">
        <v>193</v>
      </c>
      <c r="H189" s="3">
        <f>SUM(G189/E189)</f>
        <v>0.14077315827862874</v>
      </c>
    </row>
    <row r="190" spans="1:8" ht="20.100000000000001" customHeight="1" x14ac:dyDescent="0.25">
      <c r="A190" s="2" t="s">
        <v>170</v>
      </c>
      <c r="B190" s="2">
        <v>1575</v>
      </c>
      <c r="C190" s="2">
        <v>80</v>
      </c>
      <c r="D190" s="3">
        <f>SUM(C190/B190)</f>
        <v>5.0793650793650794E-2</v>
      </c>
      <c r="E190" s="2">
        <v>381</v>
      </c>
      <c r="F190" s="3">
        <f>SUM(E190/B190)</f>
        <v>0.2419047619047619</v>
      </c>
      <c r="G190" s="2">
        <v>54</v>
      </c>
      <c r="H190" s="3">
        <f>SUM(G190/E190)</f>
        <v>0.14173228346456693</v>
      </c>
    </row>
    <row r="191" spans="1:8" ht="20.100000000000001" customHeight="1" x14ac:dyDescent="0.25">
      <c r="A191" s="2" t="s">
        <v>57</v>
      </c>
      <c r="B191" s="2">
        <v>326</v>
      </c>
      <c r="C191" s="2">
        <v>67</v>
      </c>
      <c r="D191" s="3">
        <f>SUM(C191/B191)</f>
        <v>0.20552147239263804</v>
      </c>
      <c r="E191" s="2"/>
      <c r="F191" s="3"/>
      <c r="G191" s="2"/>
      <c r="H191" s="3"/>
    </row>
    <row r="192" spans="1:8" ht="20.100000000000001" customHeight="1" x14ac:dyDescent="0.25">
      <c r="A192" s="2" t="s">
        <v>128</v>
      </c>
      <c r="B192" s="2">
        <v>2977</v>
      </c>
      <c r="C192" s="2"/>
      <c r="D192" s="3"/>
      <c r="E192" s="2">
        <v>521</v>
      </c>
      <c r="F192" s="3">
        <f>SUM(E192/B192)</f>
        <v>0.1750083977158213</v>
      </c>
      <c r="G192" s="2">
        <v>37</v>
      </c>
      <c r="H192" s="3">
        <f>SUM(G192/E192)</f>
        <v>7.1017274472168906E-2</v>
      </c>
    </row>
    <row r="193" spans="1:8" ht="20.100000000000001" customHeight="1" x14ac:dyDescent="0.25">
      <c r="A193" s="2" t="s">
        <v>78</v>
      </c>
      <c r="B193" s="2">
        <v>626</v>
      </c>
      <c r="C193" s="2">
        <v>75</v>
      </c>
      <c r="D193" s="3">
        <f>SUM(C193/B193)</f>
        <v>0.11980830670926518</v>
      </c>
      <c r="E193" s="2">
        <v>167</v>
      </c>
      <c r="F193" s="3">
        <f>SUM(E193/B193)</f>
        <v>0.26677316293929715</v>
      </c>
      <c r="G193" s="2">
        <v>11</v>
      </c>
      <c r="H193" s="3">
        <f>SUM(G193/E193)</f>
        <v>6.5868263473053898E-2</v>
      </c>
    </row>
    <row r="194" spans="1:8" ht="20.100000000000001" customHeight="1" x14ac:dyDescent="0.25">
      <c r="A194" s="2" t="s">
        <v>152</v>
      </c>
      <c r="B194" s="2">
        <v>5496</v>
      </c>
      <c r="C194" s="2"/>
      <c r="D194" s="3"/>
      <c r="E194" s="2">
        <v>1065</v>
      </c>
      <c r="F194" s="3">
        <f>SUM(E194/B194)</f>
        <v>0.19377729257641921</v>
      </c>
      <c r="G194" s="2">
        <v>101</v>
      </c>
      <c r="H194" s="3">
        <f>SUM(G194/E194)</f>
        <v>9.4835680751173712E-2</v>
      </c>
    </row>
    <row r="195" spans="1:8" ht="20.100000000000001" customHeight="1" x14ac:dyDescent="0.25">
      <c r="A195" s="2" t="s">
        <v>197</v>
      </c>
      <c r="B195" s="2">
        <v>1009</v>
      </c>
      <c r="C195" s="2">
        <v>83</v>
      </c>
      <c r="D195" s="3">
        <f>SUM(C195/B195)</f>
        <v>8.2259663032705654E-2</v>
      </c>
      <c r="E195" s="2">
        <v>173</v>
      </c>
      <c r="F195" s="3">
        <f>SUM(E195/B195)</f>
        <v>0.17145688800792863</v>
      </c>
      <c r="G195" s="2">
        <v>6</v>
      </c>
      <c r="H195" s="3">
        <f>SUM(G195/E195)</f>
        <v>3.4682080924855488E-2</v>
      </c>
    </row>
    <row r="196" spans="1:8" ht="20.100000000000001" customHeight="1" thickBot="1" x14ac:dyDescent="0.3">
      <c r="A196" s="4" t="s">
        <v>98</v>
      </c>
      <c r="B196" s="4">
        <v>2678</v>
      </c>
      <c r="C196" s="4">
        <v>100</v>
      </c>
      <c r="D196" s="5">
        <f>SUM(C196/B196)</f>
        <v>3.7341299477221805E-2</v>
      </c>
      <c r="E196" s="4">
        <v>729</v>
      </c>
      <c r="F196" s="5">
        <f>SUM(E196/B196)</f>
        <v>0.27221807318894697</v>
      </c>
      <c r="G196" s="4">
        <v>70</v>
      </c>
      <c r="H196" s="5">
        <f>SUM(G196/E196)</f>
        <v>9.6021947873799723E-2</v>
      </c>
    </row>
    <row r="197" spans="1:8" ht="27" customHeight="1" thickTop="1" thickBot="1" x14ac:dyDescent="0.3">
      <c r="A197" s="8" t="s">
        <v>204</v>
      </c>
      <c r="B197" s="6">
        <v>156958</v>
      </c>
      <c r="C197" s="6">
        <f>SUM(C2:C196)</f>
        <v>12500</v>
      </c>
      <c r="D197" s="7">
        <f>SUM(C197/B197)</f>
        <v>7.9639139132761633E-2</v>
      </c>
      <c r="E197" s="6"/>
      <c r="F197" s="7"/>
      <c r="G197" s="6"/>
      <c r="H197" s="7"/>
    </row>
    <row r="198" spans="1:8" ht="32.25" customHeight="1" thickTop="1" thickBot="1" x14ac:dyDescent="0.3">
      <c r="A198" s="9" t="s">
        <v>205</v>
      </c>
      <c r="B198" s="6">
        <v>302947</v>
      </c>
      <c r="C198" s="6"/>
      <c r="D198" s="7"/>
      <c r="E198" s="6">
        <f>SUM(E3:E196)</f>
        <v>69395</v>
      </c>
      <c r="F198" s="7">
        <f>SUM(E198/B198)</f>
        <v>0.22906647037270544</v>
      </c>
      <c r="G198" s="6">
        <f>SUM(G3:G196)</f>
        <v>9241</v>
      </c>
      <c r="H198" s="7">
        <f>SUM(G198/E198)</f>
        <v>0.13316521363210607</v>
      </c>
    </row>
    <row r="199" spans="1:8" ht="15.75" thickTop="1" x14ac:dyDescent="0.25"/>
  </sheetData>
  <phoneticPr fontId="0" type="noConversion"/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8" sqref="E8:I214"/>
    </sheetView>
  </sheetViews>
  <sheetFormatPr defaultRowHeight="15" x14ac:dyDescent="0.25"/>
  <sheetData/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DE6UZ2SY5E43-1273115200-260</_dlc_DocId>
    <_dlc_DocIdUrl xmlns="3b005fd8-62d5-4927-a0f9-fdac9185221f">
      <Url>https://outside.vermont.gov/dept/sos/_layouts/15/DocIdRedir.aspx?ID=DE6UZ2SY5E43-1273115200-260</Url>
      <Description>DE6UZ2SY5E43-1273115200-260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784E79F-2181-4413-89B6-4DB7CD8FB3EB}"/>
</file>

<file path=customXml/itemProps2.xml><?xml version="1.0" encoding="utf-8"?>
<ds:datastoreItem xmlns:ds="http://schemas.openxmlformats.org/officeDocument/2006/customXml" ds:itemID="{1D145454-08D2-4704-9263-8C3414675052}"/>
</file>

<file path=customXml/itemProps3.xml><?xml version="1.0" encoding="utf-8"?>
<ds:datastoreItem xmlns:ds="http://schemas.openxmlformats.org/officeDocument/2006/customXml" ds:itemID="{1832FB6E-2E1A-4544-A888-36C7A609803F}"/>
</file>

<file path=customXml/itemProps4.xml><?xml version="1.0" encoding="utf-8"?>
<ds:datastoreItem xmlns:ds="http://schemas.openxmlformats.org/officeDocument/2006/customXml" ds:itemID="{DDB4DA7D-36EA-41A4-BDFA-F05AB65AE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Vermont Secretary of State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Bjornlund, Lori</cp:lastModifiedBy>
  <dcterms:created xsi:type="dcterms:W3CDTF">2014-09-05T19:01:34Z</dcterms:created>
  <dcterms:modified xsi:type="dcterms:W3CDTF">2017-03-03T16:24:33Z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740df413-859b-428c-995f-218db53ab0f5</vt:lpwstr>
  </property>
</Properties>
</file>