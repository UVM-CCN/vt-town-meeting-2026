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ites\business-division-elections\documentLibrary\Town Meeting Information &amp; Survey\2019 Town Meeting Survey\2019 Town Meeting Turnout\"/>
    </mc:Choice>
  </mc:AlternateContent>
  <bookViews>
    <workbookView xWindow="0" yWindow="0" windowWidth="23040" windowHeight="9370"/>
  </bookViews>
  <sheets>
    <sheet name="Sheet1" sheetId="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6" i="1" l="1"/>
  <c r="F56" i="1"/>
  <c r="C235" i="1"/>
  <c r="D235" i="1" s="1"/>
  <c r="E236" i="1"/>
  <c r="F236" i="1" s="1"/>
  <c r="G236" i="1"/>
  <c r="H142" i="1"/>
  <c r="F142" i="1"/>
  <c r="D142" i="1"/>
  <c r="H82" i="1"/>
  <c r="F82" i="1"/>
  <c r="D82" i="1"/>
  <c r="H39" i="1"/>
  <c r="F39" i="1"/>
  <c r="D39" i="1"/>
  <c r="H236" i="1" l="1"/>
  <c r="D182" i="3"/>
  <c r="C174" i="3"/>
  <c r="F213" i="1"/>
  <c r="F5" i="1" l="1"/>
  <c r="F7" i="1"/>
  <c r="F12" i="1"/>
  <c r="F13" i="1"/>
  <c r="F15" i="1"/>
  <c r="F16" i="1"/>
  <c r="F17" i="1"/>
  <c r="F18" i="1"/>
  <c r="F20" i="1"/>
  <c r="F21" i="1"/>
  <c r="F23" i="1"/>
  <c r="F24" i="1"/>
  <c r="F26" i="1"/>
  <c r="F27" i="1"/>
  <c r="F28" i="1"/>
  <c r="F29" i="1"/>
  <c r="F32" i="1"/>
  <c r="F33" i="1"/>
  <c r="F34" i="1"/>
  <c r="F35" i="1"/>
  <c r="F36" i="1"/>
  <c r="F37" i="1"/>
  <c r="F38" i="1"/>
  <c r="F41" i="1"/>
  <c r="F43" i="1"/>
  <c r="F44" i="1"/>
  <c r="F45" i="1"/>
  <c r="F46" i="1"/>
  <c r="F47" i="1"/>
  <c r="F48" i="1"/>
  <c r="F49" i="1"/>
  <c r="F50" i="1"/>
  <c r="F52" i="1"/>
  <c r="F53" i="1"/>
  <c r="F54" i="1"/>
  <c r="F55" i="1"/>
  <c r="F57" i="1"/>
  <c r="F58" i="1"/>
  <c r="F59" i="1"/>
  <c r="F60" i="1"/>
  <c r="F62" i="1"/>
  <c r="F64" i="1"/>
  <c r="F65" i="1"/>
  <c r="F66" i="1"/>
  <c r="F69" i="1"/>
  <c r="F70" i="1"/>
  <c r="F73" i="1"/>
  <c r="F75" i="1"/>
  <c r="F76" i="1"/>
  <c r="F77" i="1"/>
  <c r="F78" i="1"/>
  <c r="F80" i="1"/>
  <c r="F81" i="1"/>
  <c r="F83" i="1"/>
  <c r="F84" i="1"/>
  <c r="F85" i="1"/>
  <c r="F86" i="1"/>
  <c r="F87" i="1"/>
  <c r="F88" i="1"/>
  <c r="F89" i="1"/>
  <c r="F90" i="1"/>
  <c r="F91" i="1"/>
  <c r="F93" i="1"/>
  <c r="F94" i="1"/>
  <c r="F95" i="1"/>
  <c r="F98" i="1"/>
  <c r="F99" i="1"/>
  <c r="F100" i="1"/>
  <c r="F103" i="1"/>
  <c r="F105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8" i="1"/>
  <c r="F129" i="1"/>
  <c r="F131" i="1"/>
  <c r="F133" i="1"/>
  <c r="F134" i="1"/>
  <c r="F135" i="1"/>
  <c r="F136" i="1"/>
  <c r="F137" i="1"/>
  <c r="F138" i="1"/>
  <c r="F143" i="1"/>
  <c r="F144" i="1"/>
  <c r="F146" i="1"/>
  <c r="F148" i="1"/>
  <c r="F149" i="1"/>
  <c r="F150" i="1"/>
  <c r="F152" i="1"/>
  <c r="F153" i="1"/>
  <c r="F154" i="1"/>
  <c r="F155" i="1"/>
  <c r="F156" i="1"/>
  <c r="F157" i="1"/>
  <c r="F158" i="1"/>
  <c r="F159" i="1"/>
  <c r="F160" i="1"/>
  <c r="F161" i="1"/>
  <c r="F162" i="1"/>
  <c r="F164" i="1"/>
  <c r="F165" i="1"/>
  <c r="F166" i="1"/>
  <c r="F168" i="1"/>
  <c r="F169" i="1"/>
  <c r="F170" i="1"/>
  <c r="F171" i="1"/>
  <c r="F172" i="1"/>
  <c r="F173" i="1"/>
  <c r="F175" i="1"/>
  <c r="F177" i="1"/>
  <c r="F178" i="1"/>
  <c r="F180" i="1"/>
  <c r="F182" i="1"/>
  <c r="F185" i="1"/>
  <c r="F187" i="1"/>
  <c r="F188" i="1"/>
  <c r="F189" i="1"/>
  <c r="F97" i="1"/>
  <c r="F174" i="1"/>
  <c r="F92" i="1"/>
  <c r="F132" i="1"/>
  <c r="F176" i="1"/>
  <c r="F206" i="1"/>
  <c r="F194" i="1"/>
  <c r="F195" i="1"/>
  <c r="F196" i="1"/>
  <c r="F197" i="1"/>
  <c r="F198" i="1"/>
  <c r="F199" i="1"/>
  <c r="F200" i="1"/>
  <c r="F201" i="1"/>
  <c r="F203" i="1"/>
  <c r="F204" i="1"/>
  <c r="F207" i="1"/>
  <c r="F209" i="1"/>
  <c r="F210" i="1"/>
  <c r="F211" i="1"/>
  <c r="F212" i="1"/>
  <c r="F214" i="1"/>
  <c r="F215" i="1"/>
  <c r="F216" i="1"/>
  <c r="F217" i="1"/>
  <c r="F218" i="1"/>
  <c r="F220" i="1"/>
  <c r="F222" i="1"/>
  <c r="F223" i="1"/>
  <c r="F224" i="1"/>
  <c r="F225" i="1"/>
  <c r="F227" i="1"/>
  <c r="F228" i="1"/>
  <c r="F229" i="1"/>
  <c r="F230" i="1"/>
  <c r="F231" i="1"/>
  <c r="F232" i="1"/>
  <c r="F233" i="1"/>
  <c r="F234" i="1"/>
  <c r="D6" i="1"/>
  <c r="D8" i="1"/>
  <c r="D9" i="1"/>
  <c r="D10" i="1"/>
  <c r="D11" i="1"/>
  <c r="D14" i="1"/>
  <c r="D16" i="1"/>
  <c r="D19" i="1"/>
  <c r="D20" i="1"/>
  <c r="D21" i="1"/>
  <c r="D22" i="1"/>
  <c r="D25" i="1"/>
  <c r="D26" i="1"/>
  <c r="D28" i="1"/>
  <c r="D30" i="1"/>
  <c r="D31" i="1"/>
  <c r="D34" i="1"/>
  <c r="D35" i="1"/>
  <c r="D36" i="1"/>
  <c r="D37" i="1"/>
  <c r="D41" i="1"/>
  <c r="D42" i="1"/>
  <c r="D43" i="1"/>
  <c r="D49" i="1"/>
  <c r="D50" i="1"/>
  <c r="D51" i="1"/>
  <c r="D52" i="1"/>
  <c r="D53" i="1"/>
  <c r="D54" i="1"/>
  <c r="D55" i="1"/>
  <c r="D58" i="1"/>
  <c r="D61" i="1"/>
  <c r="D62" i="1"/>
  <c r="D63" i="1"/>
  <c r="D68" i="1"/>
  <c r="D69" i="1"/>
  <c r="D70" i="1"/>
  <c r="D71" i="1"/>
  <c r="D73" i="1"/>
  <c r="D74" i="1"/>
  <c r="D75" i="1"/>
  <c r="D76" i="1"/>
  <c r="D77" i="1"/>
  <c r="D78" i="1"/>
  <c r="D79" i="1"/>
  <c r="D80" i="1"/>
  <c r="D83" i="1"/>
  <c r="D84" i="1"/>
  <c r="D86" i="1"/>
  <c r="D87" i="1"/>
  <c r="D89" i="1"/>
  <c r="D93" i="1"/>
  <c r="D94" i="1"/>
  <c r="D95" i="1"/>
  <c r="D96" i="1"/>
  <c r="D98" i="1"/>
  <c r="D99" i="1"/>
  <c r="D101" i="1"/>
  <c r="D102" i="1"/>
  <c r="D103" i="1"/>
  <c r="D104" i="1"/>
  <c r="D105" i="1"/>
  <c r="D106" i="1"/>
  <c r="D107" i="1"/>
  <c r="D109" i="1"/>
  <c r="D110" i="1"/>
  <c r="D112" i="1"/>
  <c r="D114" i="1"/>
  <c r="D115" i="1"/>
  <c r="D116" i="1"/>
  <c r="D117" i="1"/>
  <c r="D123" i="1"/>
  <c r="D125" i="1"/>
  <c r="D127" i="1"/>
  <c r="D130" i="1"/>
  <c r="D133" i="1"/>
  <c r="D134" i="1"/>
  <c r="D136" i="1"/>
  <c r="D137" i="1"/>
  <c r="D140" i="1"/>
  <c r="D141" i="1"/>
  <c r="D143" i="1"/>
  <c r="D144" i="1"/>
  <c r="D145" i="1"/>
  <c r="D147" i="1"/>
  <c r="D148" i="1"/>
  <c r="D151" i="1"/>
  <c r="D152" i="1"/>
  <c r="D154" i="1"/>
  <c r="D157" i="1"/>
  <c r="D158" i="1"/>
  <c r="D159" i="1"/>
  <c r="D162" i="1"/>
  <c r="D163" i="1"/>
  <c r="D164" i="1"/>
  <c r="D165" i="1"/>
  <c r="D167" i="1"/>
  <c r="D169" i="1"/>
  <c r="D170" i="1"/>
  <c r="D173" i="1"/>
  <c r="D178" i="1"/>
  <c r="D179" i="1"/>
  <c r="D180" i="1"/>
  <c r="D181" i="1"/>
  <c r="D182" i="1"/>
  <c r="D183" i="1"/>
  <c r="D184" i="1"/>
  <c r="D185" i="1"/>
  <c r="D186" i="1"/>
  <c r="D188" i="1"/>
  <c r="D189" i="1"/>
  <c r="D190" i="1"/>
  <c r="D97" i="1"/>
  <c r="D40" i="1"/>
  <c r="D67" i="1"/>
  <c r="D72" i="1"/>
  <c r="D92" i="1"/>
  <c r="D139" i="1"/>
  <c r="D191" i="1"/>
  <c r="D192" i="1"/>
  <c r="D193" i="1"/>
  <c r="D196" i="1"/>
  <c r="D197" i="1"/>
  <c r="D198" i="1"/>
  <c r="D199" i="1"/>
  <c r="D200" i="1"/>
  <c r="D201" i="1"/>
  <c r="D202" i="1"/>
  <c r="D203" i="1"/>
  <c r="D204" i="1"/>
  <c r="D205" i="1"/>
  <c r="D208" i="1"/>
  <c r="D209" i="1"/>
  <c r="D211" i="1"/>
  <c r="D214" i="1"/>
  <c r="D215" i="1"/>
  <c r="D216" i="1"/>
  <c r="D218" i="1"/>
  <c r="D219" i="1"/>
  <c r="D220" i="1"/>
  <c r="D221" i="1"/>
  <c r="D222" i="1"/>
  <c r="D223" i="1"/>
  <c r="D225" i="1"/>
  <c r="D226" i="1"/>
  <c r="D228" i="1"/>
  <c r="D230" i="1"/>
  <c r="D231" i="1"/>
  <c r="D233" i="1"/>
  <c r="D234" i="1"/>
  <c r="H80" i="1"/>
  <c r="H81" i="1"/>
  <c r="H83" i="1"/>
  <c r="H84" i="1"/>
  <c r="H85" i="1"/>
  <c r="H86" i="1"/>
  <c r="H87" i="1"/>
  <c r="H88" i="1"/>
  <c r="H89" i="1"/>
  <c r="H90" i="1"/>
  <c r="H91" i="1"/>
  <c r="H93" i="1"/>
  <c r="H95" i="1"/>
  <c r="H98" i="1"/>
  <c r="H99" i="1"/>
  <c r="H100" i="1"/>
  <c r="H103" i="1"/>
  <c r="H105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3" i="1"/>
  <c r="H124" i="1"/>
  <c r="H126" i="1"/>
  <c r="H128" i="1"/>
  <c r="H129" i="1"/>
  <c r="H131" i="1"/>
  <c r="H133" i="1"/>
  <c r="H135" i="1"/>
  <c r="H137" i="1"/>
  <c r="H138" i="1"/>
  <c r="H143" i="1"/>
  <c r="H144" i="1"/>
  <c r="H146" i="1"/>
  <c r="H148" i="1"/>
  <c r="H149" i="1"/>
  <c r="H150" i="1"/>
  <c r="H152" i="1"/>
  <c r="H153" i="1"/>
  <c r="H154" i="1"/>
  <c r="H155" i="1"/>
  <c r="H156" i="1"/>
  <c r="H157" i="1"/>
  <c r="H158" i="1"/>
  <c r="H159" i="1"/>
  <c r="H160" i="1"/>
  <c r="H161" i="1"/>
  <c r="H162" i="1"/>
  <c r="H164" i="1"/>
  <c r="H165" i="1"/>
  <c r="H166" i="1"/>
  <c r="H168" i="1"/>
  <c r="H169" i="1"/>
  <c r="H170" i="1"/>
  <c r="H171" i="1"/>
  <c r="H172" i="1"/>
  <c r="H173" i="1"/>
  <c r="H175" i="1"/>
  <c r="H177" i="1"/>
  <c r="H178" i="1"/>
  <c r="H180" i="1"/>
  <c r="H182" i="1"/>
  <c r="H185" i="1"/>
  <c r="H187" i="1"/>
  <c r="H188" i="1"/>
  <c r="H189" i="1"/>
  <c r="H174" i="1"/>
  <c r="H92" i="1"/>
  <c r="H132" i="1"/>
  <c r="H176" i="1"/>
  <c r="H206" i="1"/>
  <c r="H194" i="1"/>
  <c r="H195" i="1"/>
  <c r="H196" i="1"/>
  <c r="H197" i="1"/>
  <c r="H198" i="1"/>
  <c r="H199" i="1"/>
  <c r="H200" i="1"/>
  <c r="H201" i="1"/>
  <c r="H203" i="1"/>
  <c r="H204" i="1"/>
  <c r="H207" i="1"/>
  <c r="H209" i="1"/>
  <c r="H210" i="1"/>
  <c r="H211" i="1"/>
  <c r="H212" i="1"/>
  <c r="H213" i="1"/>
  <c r="H214" i="1"/>
  <c r="H215" i="1"/>
  <c r="H216" i="1"/>
  <c r="H217" i="1"/>
  <c r="H220" i="1"/>
  <c r="H222" i="1"/>
  <c r="H223" i="1"/>
  <c r="H224" i="1"/>
  <c r="H225" i="1"/>
  <c r="H227" i="1"/>
  <c r="H228" i="1"/>
  <c r="H229" i="1"/>
  <c r="H230" i="1"/>
  <c r="H232" i="1"/>
  <c r="H233" i="1"/>
  <c r="H234" i="1"/>
  <c r="H73" i="1"/>
  <c r="H75" i="1"/>
  <c r="H76" i="1"/>
  <c r="H77" i="1"/>
  <c r="H66" i="1"/>
  <c r="H59" i="1"/>
  <c r="H52" i="1"/>
  <c r="H49" i="1"/>
  <c r="H38" i="1"/>
  <c r="H28" i="1"/>
  <c r="H29" i="1"/>
  <c r="H23" i="1"/>
  <c r="H17" i="1"/>
  <c r="H13" i="1"/>
  <c r="H5" i="1"/>
  <c r="H7" i="1"/>
  <c r="H62" i="1" l="1"/>
  <c r="H64" i="1"/>
  <c r="H27" i="1"/>
  <c r="H18" i="1"/>
  <c r="H16" i="1"/>
  <c r="F3" i="1" l="1"/>
  <c r="H3" i="1"/>
  <c r="D4" i="1"/>
  <c r="H12" i="1"/>
  <c r="H15" i="1"/>
  <c r="H21" i="1"/>
  <c r="H24" i="1"/>
  <c r="H26" i="1"/>
  <c r="H32" i="1"/>
  <c r="H33" i="1"/>
  <c r="H34" i="1"/>
  <c r="H35" i="1"/>
  <c r="H36" i="1"/>
  <c r="H37" i="1"/>
  <c r="H43" i="1"/>
  <c r="H44" i="1"/>
  <c r="H45" i="1"/>
  <c r="H46" i="1"/>
  <c r="H47" i="1"/>
  <c r="H48" i="1"/>
  <c r="H53" i="1"/>
  <c r="H54" i="1"/>
  <c r="H55" i="1"/>
  <c r="H57" i="1"/>
  <c r="H58" i="1"/>
  <c r="H60" i="1"/>
  <c r="H65" i="1"/>
  <c r="H70" i="1"/>
</calcChain>
</file>

<file path=xl/sharedStrings.xml><?xml version="1.0" encoding="utf-8"?>
<sst xmlns="http://schemas.openxmlformats.org/spreadsheetml/2006/main" count="245" uniqueCount="245">
  <si>
    <t>Town or City</t>
  </si>
  <si>
    <t>For floor meeting towns: what was the highest vote count? (your best estimate)</t>
  </si>
  <si>
    <t>Floor vote Turnout (%)</t>
  </si>
  <si>
    <t>For Australian ballot towns: how many people voted (include absentee ballot)?</t>
  </si>
  <si>
    <t>Australian ballot Turnout (%)</t>
  </si>
  <si>
    <t>For Australian ballot towns: how many voted by absentee ballot?</t>
  </si>
  <si>
    <t xml:space="preserve">Absentee Ballot Turnout (%) </t>
  </si>
  <si>
    <t>FLOOR VOTE TOTAL</t>
  </si>
  <si>
    <t>AUSTRALIAN BALLOT TOTAL</t>
  </si>
  <si>
    <t>ALBANY</t>
  </si>
  <si>
    <t>ARLINGTON</t>
  </si>
  <si>
    <t>BARNARD</t>
  </si>
  <si>
    <t>BRANDON</t>
  </si>
  <si>
    <t>CANAAN</t>
  </si>
  <si>
    <t>DORSET</t>
  </si>
  <si>
    <t>DUMMERSTON</t>
  </si>
  <si>
    <t>ENOSBURGH</t>
  </si>
  <si>
    <t>FAIR HAVEN</t>
  </si>
  <si>
    <t>FAIRFAX</t>
  </si>
  <si>
    <t>GLOVER</t>
  </si>
  <si>
    <t>GRAFTON</t>
  </si>
  <si>
    <t>GROTON</t>
  </si>
  <si>
    <t>HANCOCK</t>
  </si>
  <si>
    <t>HIGHGATE</t>
  </si>
  <si>
    <t>HUNTINGTON</t>
  </si>
  <si>
    <t>MIDDLESEX</t>
  </si>
  <si>
    <t>MORETOWN</t>
  </si>
  <si>
    <t>NORTHFIELD</t>
  </si>
  <si>
    <t>READSBORO</t>
  </si>
  <si>
    <t>ROCKINGHAM</t>
  </si>
  <si>
    <t>ROXBURY</t>
  </si>
  <si>
    <t>SHARON</t>
  </si>
  <si>
    <t>SHREWSBURY</t>
  </si>
  <si>
    <t>ST. JOHNSBURY</t>
  </si>
  <si>
    <t>STANNARD</t>
  </si>
  <si>
    <t>SUNDERLAND</t>
  </si>
  <si>
    <t>SWANTON</t>
  </si>
  <si>
    <t>VERNON</t>
  </si>
  <si>
    <t>WEATHERSFIELD</t>
  </si>
  <si>
    <t>WEST HAVEN</t>
  </si>
  <si>
    <t>WHITINGHAM</t>
  </si>
  <si>
    <t>WILMINGTON</t>
  </si>
  <si>
    <t>WORCESTER</t>
  </si>
  <si>
    <t>ADDISON</t>
  </si>
  <si>
    <t>ANDOVER</t>
  </si>
  <si>
    <t>ATHENS</t>
  </si>
  <si>
    <t>BALTIMORE</t>
  </si>
  <si>
    <t>BARNET</t>
  </si>
  <si>
    <t>BARRE CITY</t>
  </si>
  <si>
    <t>BARTON</t>
  </si>
  <si>
    <t>BELVIDERE</t>
  </si>
  <si>
    <t>BENNINGTON</t>
  </si>
  <si>
    <t>BENSON</t>
  </si>
  <si>
    <t>BERKSHIRE</t>
  </si>
  <si>
    <t>BETHEL</t>
  </si>
  <si>
    <t>BOLTON</t>
  </si>
  <si>
    <t>BRADFORD</t>
  </si>
  <si>
    <t>BRATTLEBORO</t>
  </si>
  <si>
    <t>BRIDGEWATER</t>
  </si>
  <si>
    <t>BRIDPORT</t>
  </si>
  <si>
    <t>BRIGHTON</t>
  </si>
  <si>
    <t>BRISTOL</t>
  </si>
  <si>
    <t>BROOKFIELD</t>
  </si>
  <si>
    <t>BROOKLINE</t>
  </si>
  <si>
    <t>BURKE</t>
  </si>
  <si>
    <t>BURLINGTON</t>
  </si>
  <si>
    <t>CABOT</t>
  </si>
  <si>
    <t>CALAIS</t>
  </si>
  <si>
    <t>CAMBRIDGE</t>
  </si>
  <si>
    <t>CASTLETON</t>
  </si>
  <si>
    <t>CHARLOTTE</t>
  </si>
  <si>
    <t>CHELSEA</t>
  </si>
  <si>
    <t>CHESTER</t>
  </si>
  <si>
    <t>CHITTENDEN</t>
  </si>
  <si>
    <t>CLARENDON</t>
  </si>
  <si>
    <t>COLCHESTER</t>
  </si>
  <si>
    <t>CONCORD</t>
  </si>
  <si>
    <t>CORINTH</t>
  </si>
  <si>
    <t>CORNWALL</t>
  </si>
  <si>
    <t>CRAFTSBURY</t>
  </si>
  <si>
    <t>DANVILLE</t>
  </si>
  <si>
    <t>DERBY</t>
  </si>
  <si>
    <t>DUXBURY</t>
  </si>
  <si>
    <t>EAST MONTPELIER</t>
  </si>
  <si>
    <t>EDEN</t>
  </si>
  <si>
    <t>ELMORE</t>
  </si>
  <si>
    <t>FAIRFIELD</t>
  </si>
  <si>
    <t>FAIRLEE</t>
  </si>
  <si>
    <t>FERRISBURGH</t>
  </si>
  <si>
    <t>FLETCHER</t>
  </si>
  <si>
    <t>FRANKLIN</t>
  </si>
  <si>
    <t>GEORGIA</t>
  </si>
  <si>
    <t>GOSHEN</t>
  </si>
  <si>
    <t>GRANBY</t>
  </si>
  <si>
    <t>GREENSBORO</t>
  </si>
  <si>
    <t>GUILDHALL</t>
  </si>
  <si>
    <t>GUILFORD</t>
  </si>
  <si>
    <t>HARTFORD</t>
  </si>
  <si>
    <t>HARTLAND</t>
  </si>
  <si>
    <t>HINESBURG</t>
  </si>
  <si>
    <t>HOLLAND</t>
  </si>
  <si>
    <t>HUBBARDTON</t>
  </si>
  <si>
    <t>HYDE PARK</t>
  </si>
  <si>
    <t>IRASBURG</t>
  </si>
  <si>
    <t>ISLE LA MOTTE</t>
  </si>
  <si>
    <t xml:space="preserve">JAMAICA </t>
  </si>
  <si>
    <t>JAY</t>
  </si>
  <si>
    <t>JERICHO</t>
  </si>
  <si>
    <t>JOHNSON</t>
  </si>
  <si>
    <t>KILLINGTON</t>
  </si>
  <si>
    <t>LANDGROVE</t>
  </si>
  <si>
    <t>LEICESTER</t>
  </si>
  <si>
    <t>LEMINGTON</t>
  </si>
  <si>
    <t>LINCOLN</t>
  </si>
  <si>
    <t>LONDONDERRY</t>
  </si>
  <si>
    <t>LOWELL</t>
  </si>
  <si>
    <t>LUDLOW</t>
  </si>
  <si>
    <t>LYNDON</t>
  </si>
  <si>
    <t>MAIDSTONE</t>
  </si>
  <si>
    <t>MANCHESTER</t>
  </si>
  <si>
    <t>MARLBORO</t>
  </si>
  <si>
    <t>MARSHFIELD</t>
  </si>
  <si>
    <t>MENDON</t>
  </si>
  <si>
    <t>MIDDLEBURY</t>
  </si>
  <si>
    <t>MILTON</t>
  </si>
  <si>
    <t>MONKTON</t>
  </si>
  <si>
    <t>MONTPELIER</t>
  </si>
  <si>
    <t>MORRISTOWN</t>
  </si>
  <si>
    <t>MOUNT HOLLY</t>
  </si>
  <si>
    <t>MOUNT TABOR</t>
  </si>
  <si>
    <t>NEW HAVEN</t>
  </si>
  <si>
    <t>NEWBURY</t>
  </si>
  <si>
    <t>NEWFANE</t>
  </si>
  <si>
    <t>NEWPORT CITY</t>
  </si>
  <si>
    <t>NORTH HERO</t>
  </si>
  <si>
    <t>NORTON</t>
  </si>
  <si>
    <t>NORWICH</t>
  </si>
  <si>
    <t>ORANGE</t>
  </si>
  <si>
    <t>ORWELL</t>
  </si>
  <si>
    <t>PAWLET</t>
  </si>
  <si>
    <t>PEACHAM</t>
  </si>
  <si>
    <t>PERU</t>
  </si>
  <si>
    <t>PITTSFIELD</t>
  </si>
  <si>
    <t>PLAINFIELD</t>
  </si>
  <si>
    <t>PLYMOUTH</t>
  </si>
  <si>
    <t>POMFRET</t>
  </si>
  <si>
    <t>POULTNEY</t>
  </si>
  <si>
    <t>POWNAL</t>
  </si>
  <si>
    <t>PROCTOR</t>
  </si>
  <si>
    <t>PUTNEY</t>
  </si>
  <si>
    <t>RANDOLPH</t>
  </si>
  <si>
    <t>READING</t>
  </si>
  <si>
    <t>RICHFORD</t>
  </si>
  <si>
    <t>RICHMOND</t>
  </si>
  <si>
    <t>RIPTON</t>
  </si>
  <si>
    <t>ROYALTON</t>
  </si>
  <si>
    <t>RUPERT</t>
  </si>
  <si>
    <t>RUTLAND TOWN</t>
  </si>
  <si>
    <t>RYEGATE</t>
  </si>
  <si>
    <t>SEARSBURG</t>
  </si>
  <si>
    <t>SHAFTSBURY</t>
  </si>
  <si>
    <t>SHEFFIELD</t>
  </si>
  <si>
    <t>SHELBURNE</t>
  </si>
  <si>
    <t>SHELDON</t>
  </si>
  <si>
    <t>SHOREHAM</t>
  </si>
  <si>
    <t>SOUTH BURLINGTON</t>
  </si>
  <si>
    <t>SOUTH HERO</t>
  </si>
  <si>
    <t>SPRINGFIELD</t>
  </si>
  <si>
    <t>ST. ALBANS CITY</t>
  </si>
  <si>
    <t>STARKSBORO</t>
  </si>
  <si>
    <t>STOCKBRIDGE</t>
  </si>
  <si>
    <t>STOWE</t>
  </si>
  <si>
    <t>STRATTON</t>
  </si>
  <si>
    <t>SUDBURY</t>
  </si>
  <si>
    <t>THETFORD</t>
  </si>
  <si>
    <t>TINMOUTH</t>
  </si>
  <si>
    <t>How many voters were on your TM checklist 3/6/18?</t>
  </si>
  <si>
    <t>TOPSHAM</t>
  </si>
  <si>
    <t>TOWNSHEND</t>
  </si>
  <si>
    <t>TROY</t>
  </si>
  <si>
    <t>UNDERHILL</t>
  </si>
  <si>
    <t>VERGENNES</t>
  </si>
  <si>
    <t>VICTORY</t>
  </si>
  <si>
    <t>WAITSFIELD</t>
  </si>
  <si>
    <t>WALDEN</t>
  </si>
  <si>
    <t>WALLINGFORD</t>
  </si>
  <si>
    <t>WALTHAM</t>
  </si>
  <si>
    <t>WARDSBORO</t>
  </si>
  <si>
    <t>WARREN</t>
  </si>
  <si>
    <t>WATERBURY</t>
  </si>
  <si>
    <t>WATERFORD</t>
  </si>
  <si>
    <t>WATERVILLE</t>
  </si>
  <si>
    <t>WEST FAIRLEE</t>
  </si>
  <si>
    <t>WEST WINDSOR</t>
  </si>
  <si>
    <t>WESTFIELD</t>
  </si>
  <si>
    <t>WESTFORD</t>
  </si>
  <si>
    <t>WESTMINSTER</t>
  </si>
  <si>
    <t>WESTON</t>
  </si>
  <si>
    <t>WHEELOCK</t>
  </si>
  <si>
    <t>WILLISTON</t>
  </si>
  <si>
    <t>WINDHAM</t>
  </si>
  <si>
    <t>WINDSOR</t>
  </si>
  <si>
    <t>WINHALL</t>
  </si>
  <si>
    <t>WINOOSKI</t>
  </si>
  <si>
    <t>WOLCOTT</t>
  </si>
  <si>
    <t>WOODBURY</t>
  </si>
  <si>
    <t>WOODFORD</t>
  </si>
  <si>
    <t xml:space="preserve">2019 ANNUAL MEETING - VOTER TURNOUT STATISTICS </t>
  </si>
  <si>
    <t>ALBURGH</t>
  </si>
  <si>
    <t>BERLIN</t>
  </si>
  <si>
    <t>BLOOMFIELD</t>
  </si>
  <si>
    <t>BROWNINGTON</t>
  </si>
  <si>
    <t>DANBY</t>
  </si>
  <si>
    <t>EAST HAVEN</t>
  </si>
  <si>
    <t>FAYSTON</t>
  </si>
  <si>
    <t>HARDWICK</t>
  </si>
  <si>
    <t>IRA</t>
  </si>
  <si>
    <t xml:space="preserve">KIRBY </t>
  </si>
  <si>
    <t>LUNENBURG</t>
  </si>
  <si>
    <t>MORGAN</t>
  </si>
  <si>
    <t>NEWARK</t>
  </si>
  <si>
    <t>NEWPORT CENTER</t>
  </si>
  <si>
    <t>RUTLAND CITY</t>
  </si>
  <si>
    <t>SAINT GEORGE</t>
  </si>
  <si>
    <t>STAMFORD</t>
  </si>
  <si>
    <t>SUTTON</t>
  </si>
  <si>
    <t>CHARLESTON</t>
  </si>
  <si>
    <t>TUNBRIDGE</t>
  </si>
  <si>
    <t>VERSHIRE</t>
  </si>
  <si>
    <t>WASHINGTON</t>
  </si>
  <si>
    <t>WELLS</t>
  </si>
  <si>
    <t>WESTMORE</t>
  </si>
  <si>
    <t>WHITING</t>
  </si>
  <si>
    <t>WOODSTOCK</t>
  </si>
  <si>
    <t>COVENTRY</t>
  </si>
  <si>
    <t>ESSEX</t>
  </si>
  <si>
    <t>WEST RUTLAND</t>
  </si>
  <si>
    <t>WILLIAMSTOWN</t>
  </si>
  <si>
    <t>FLOOR</t>
  </si>
  <si>
    <t>CAVENDISH</t>
  </si>
  <si>
    <t>PITTSFORD</t>
  </si>
  <si>
    <t>DOVER</t>
  </si>
  <si>
    <t>HALIFAX</t>
  </si>
  <si>
    <t>ST. ALBANS TOWN</t>
  </si>
  <si>
    <t>AUSTRALIAN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</si>
</sst>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10" fontId="3" fillId="4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Fill="1" applyAlignment="1"/>
    <xf numFmtId="3" fontId="3" fillId="4" borderId="5" xfId="0" applyNumberFormat="1" applyFont="1" applyFill="1" applyBorder="1" applyAlignment="1">
      <alignment horizontal="center" vertical="center"/>
    </xf>
    <xf numFmtId="10" fontId="3" fillId="4" borderId="5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6" fillId="4" borderId="5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0" fillId="0" borderId="0" xfId="0" applyAlignment="1"/>
    <xf numFmtId="0" fontId="6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0" fontId="3" fillId="8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5"/>
  <sheetViews>
    <sheetView tabSelected="1" workbookViewId="0">
      <selection sqref="A1:F1"/>
    </sheetView>
  </sheetViews>
  <sheetFormatPr defaultColWidth="8.90625" defaultRowHeight="14" x14ac:dyDescent="0.3"/>
  <cols>
    <col min="1" max="1" width="32.453125" style="12" customWidth="1"/>
    <col min="2" max="7" width="26.36328125" style="13" customWidth="1"/>
    <col min="8" max="8" width="26.36328125" style="12" customWidth="1"/>
    <col min="9" max="16384" width="8.90625" style="12"/>
  </cols>
  <sheetData>
    <row r="1" spans="1:9" ht="54" customHeight="1" x14ac:dyDescent="0.35">
      <c r="A1" s="23" t="s">
        <v>207</v>
      </c>
      <c r="B1" s="24"/>
      <c r="C1" s="24"/>
      <c r="D1" s="24"/>
      <c r="E1" s="24"/>
      <c r="F1" s="24"/>
      <c r="G1" s="9"/>
      <c r="H1" s="9"/>
      <c r="I1" s="9"/>
    </row>
    <row r="2" spans="1:9" s="2" customFormat="1" ht="173" customHeight="1" x14ac:dyDescent="0.3">
      <c r="A2" s="1" t="s">
        <v>0</v>
      </c>
      <c r="B2" s="1" t="s">
        <v>176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9" s="13" customFormat="1" ht="24.9" customHeight="1" x14ac:dyDescent="0.3">
      <c r="A3" s="3" t="s">
        <v>43</v>
      </c>
      <c r="B3" s="16">
        <v>1052</v>
      </c>
      <c r="C3" s="10"/>
      <c r="D3" s="11"/>
      <c r="E3" s="16">
        <v>237</v>
      </c>
      <c r="F3" s="11">
        <f>SUM(E3/B3)</f>
        <v>0.22528517110266161</v>
      </c>
      <c r="G3" s="10">
        <v>15</v>
      </c>
      <c r="H3" s="11">
        <f>SUM(G3/E3)</f>
        <v>6.3291139240506333E-2</v>
      </c>
    </row>
    <row r="4" spans="1:9" s="13" customFormat="1" ht="24.9" customHeight="1" x14ac:dyDescent="0.3">
      <c r="A4" s="3" t="s">
        <v>9</v>
      </c>
      <c r="B4" s="16">
        <v>665</v>
      </c>
      <c r="C4" s="10">
        <v>99</v>
      </c>
      <c r="D4" s="11">
        <f>SUM(C4/B4)</f>
        <v>0.14887218045112782</v>
      </c>
      <c r="E4" s="10"/>
      <c r="F4" s="11"/>
      <c r="G4" s="10"/>
      <c r="H4" s="11"/>
    </row>
    <row r="5" spans="1:9" s="13" customFormat="1" ht="24.9" customHeight="1" x14ac:dyDescent="0.3">
      <c r="A5" s="3" t="s">
        <v>208</v>
      </c>
      <c r="B5" s="16">
        <v>1332</v>
      </c>
      <c r="C5" s="10"/>
      <c r="D5" s="11"/>
      <c r="E5" s="16">
        <v>483</v>
      </c>
      <c r="F5" s="11">
        <f>SUM(E5/B5)</f>
        <v>0.36261261261261263</v>
      </c>
      <c r="G5" s="10">
        <v>54</v>
      </c>
      <c r="H5" s="11">
        <f>SUM(G5/E5)</f>
        <v>0.11180124223602485</v>
      </c>
    </row>
    <row r="6" spans="1:9" ht="24.9" customHeight="1" x14ac:dyDescent="0.3">
      <c r="A6" s="3" t="s">
        <v>44</v>
      </c>
      <c r="B6" s="16">
        <v>410</v>
      </c>
      <c r="C6" s="10">
        <v>59</v>
      </c>
      <c r="D6" s="11">
        <f>SUM(C6/B6)</f>
        <v>0.14390243902439023</v>
      </c>
      <c r="E6" s="10"/>
      <c r="F6" s="11"/>
      <c r="G6" s="10"/>
      <c r="H6" s="11"/>
    </row>
    <row r="7" spans="1:9" ht="24.9" customHeight="1" x14ac:dyDescent="0.3">
      <c r="A7" s="3" t="s">
        <v>10</v>
      </c>
      <c r="B7" s="16">
        <v>1959</v>
      </c>
      <c r="C7" s="10"/>
      <c r="D7" s="11"/>
      <c r="E7" s="10">
        <v>514</v>
      </c>
      <c r="F7" s="11">
        <f>SUM(E7/B7)</f>
        <v>0.26237876467585503</v>
      </c>
      <c r="G7" s="10">
        <v>51</v>
      </c>
      <c r="H7" s="11">
        <f>SUM(G7/E7)</f>
        <v>9.9221789883268477E-2</v>
      </c>
    </row>
    <row r="8" spans="1:9" ht="24.9" customHeight="1" x14ac:dyDescent="0.3">
      <c r="A8" s="3" t="s">
        <v>45</v>
      </c>
      <c r="B8" s="16">
        <v>251</v>
      </c>
      <c r="C8" s="10">
        <v>51</v>
      </c>
      <c r="D8" s="11">
        <f>SUM(C8/B8)</f>
        <v>0.20318725099601595</v>
      </c>
      <c r="E8" s="10"/>
      <c r="F8" s="11"/>
      <c r="G8" s="10"/>
      <c r="H8" s="11"/>
    </row>
    <row r="9" spans="1:9" ht="24.9" customHeight="1" x14ac:dyDescent="0.3">
      <c r="A9" s="3" t="s">
        <v>46</v>
      </c>
      <c r="B9" s="16">
        <v>183</v>
      </c>
      <c r="C9" s="10">
        <v>22</v>
      </c>
      <c r="D9" s="11">
        <f>SUM(C9/B9)</f>
        <v>0.12021857923497267</v>
      </c>
      <c r="E9" s="10"/>
      <c r="F9" s="11"/>
      <c r="G9" s="10"/>
      <c r="H9" s="11"/>
    </row>
    <row r="10" spans="1:9" ht="24.9" customHeight="1" x14ac:dyDescent="0.3">
      <c r="A10" s="3" t="s">
        <v>11</v>
      </c>
      <c r="B10" s="16">
        <v>727</v>
      </c>
      <c r="C10" s="10">
        <v>30</v>
      </c>
      <c r="D10" s="11">
        <f>SUM(C10/B10)</f>
        <v>4.1265474552957357E-2</v>
      </c>
      <c r="E10" s="10"/>
      <c r="F10" s="11"/>
      <c r="G10" s="10"/>
      <c r="H10" s="11"/>
    </row>
    <row r="11" spans="1:9" ht="24.9" customHeight="1" x14ac:dyDescent="0.3">
      <c r="A11" s="3" t="s">
        <v>47</v>
      </c>
      <c r="B11" s="16">
        <v>1406</v>
      </c>
      <c r="C11" s="10">
        <v>100</v>
      </c>
      <c r="D11" s="11">
        <f>SUM(C11/B11)</f>
        <v>7.1123755334281655E-2</v>
      </c>
      <c r="E11" s="10"/>
      <c r="F11" s="11"/>
      <c r="G11" s="10"/>
      <c r="H11" s="11"/>
    </row>
    <row r="12" spans="1:9" ht="24.9" customHeight="1" x14ac:dyDescent="0.3">
      <c r="A12" s="3" t="s">
        <v>48</v>
      </c>
      <c r="B12" s="16">
        <v>5191</v>
      </c>
      <c r="C12" s="10"/>
      <c r="D12" s="11"/>
      <c r="E12" s="10">
        <v>843</v>
      </c>
      <c r="F12" s="11">
        <f>SUM(E12/B12)</f>
        <v>0.16239645540358313</v>
      </c>
      <c r="G12" s="10">
        <v>104</v>
      </c>
      <c r="H12" s="11">
        <f>SUM(G12/E12)</f>
        <v>0.12336892052194544</v>
      </c>
    </row>
    <row r="13" spans="1:9" ht="24.9" customHeight="1" x14ac:dyDescent="0.3">
      <c r="A13" s="3" t="s">
        <v>49</v>
      </c>
      <c r="B13" s="16">
        <v>1939</v>
      </c>
      <c r="C13" s="10"/>
      <c r="D13" s="11"/>
      <c r="E13" s="10">
        <v>156</v>
      </c>
      <c r="F13" s="11">
        <f>SUM(E13/B13)</f>
        <v>8.0453842186694172E-2</v>
      </c>
      <c r="G13" s="10">
        <v>15</v>
      </c>
      <c r="H13" s="11">
        <f>SUM(G13/E13)</f>
        <v>9.6153846153846159E-2</v>
      </c>
    </row>
    <row r="14" spans="1:9" ht="24.9" customHeight="1" x14ac:dyDescent="0.3">
      <c r="A14" s="3" t="s">
        <v>50</v>
      </c>
      <c r="B14" s="16">
        <v>229</v>
      </c>
      <c r="C14" s="10">
        <v>40</v>
      </c>
      <c r="D14" s="11">
        <f>SUM(C14/B14)</f>
        <v>0.17467248908296942</v>
      </c>
      <c r="E14" s="10"/>
      <c r="F14" s="11"/>
      <c r="G14" s="10"/>
      <c r="H14" s="11"/>
    </row>
    <row r="15" spans="1:9" ht="24.9" customHeight="1" x14ac:dyDescent="0.3">
      <c r="A15" s="3" t="s">
        <v>51</v>
      </c>
      <c r="B15" s="16">
        <v>9209</v>
      </c>
      <c r="C15" s="10"/>
      <c r="D15" s="11"/>
      <c r="E15" s="10">
        <v>2042</v>
      </c>
      <c r="F15" s="11">
        <f>SUM(E15/B15)</f>
        <v>0.22173960256271039</v>
      </c>
      <c r="G15" s="10">
        <v>251</v>
      </c>
      <c r="H15" s="11">
        <f>SUM(G15/E15)</f>
        <v>0.12291870714985309</v>
      </c>
    </row>
    <row r="16" spans="1:9" ht="24.9" customHeight="1" x14ac:dyDescent="0.3">
      <c r="A16" s="3" t="s">
        <v>52</v>
      </c>
      <c r="B16" s="16">
        <v>752</v>
      </c>
      <c r="C16" s="10">
        <v>40</v>
      </c>
      <c r="D16" s="11">
        <f>SUM(C16/B16)</f>
        <v>5.3191489361702128E-2</v>
      </c>
      <c r="E16" s="10">
        <v>199</v>
      </c>
      <c r="F16" s="11">
        <f>SUM(E16/B16)</f>
        <v>0.2646276595744681</v>
      </c>
      <c r="G16" s="10">
        <v>22</v>
      </c>
      <c r="H16" s="11">
        <f>SUM(G16/E16)</f>
        <v>0.11055276381909548</v>
      </c>
    </row>
    <row r="17" spans="1:8" ht="24.9" customHeight="1" x14ac:dyDescent="0.3">
      <c r="A17" s="3" t="s">
        <v>53</v>
      </c>
      <c r="B17" s="16">
        <v>1017</v>
      </c>
      <c r="C17" s="10"/>
      <c r="D17" s="11"/>
      <c r="E17" s="10">
        <v>131</v>
      </c>
      <c r="F17" s="11">
        <f>SUM(E17/B17)</f>
        <v>0.12881022615535889</v>
      </c>
      <c r="G17" s="10">
        <v>15</v>
      </c>
      <c r="H17" s="11">
        <f>SUM(G17/E17)</f>
        <v>0.11450381679389313</v>
      </c>
    </row>
    <row r="18" spans="1:8" ht="24.9" customHeight="1" x14ac:dyDescent="0.3">
      <c r="A18" s="3" t="s">
        <v>209</v>
      </c>
      <c r="B18" s="16">
        <v>1940</v>
      </c>
      <c r="C18" s="10"/>
      <c r="D18" s="11"/>
      <c r="E18" s="10">
        <v>399</v>
      </c>
      <c r="F18" s="11">
        <f>SUM(E18/B18)</f>
        <v>0.2056701030927835</v>
      </c>
      <c r="G18" s="10">
        <v>63</v>
      </c>
      <c r="H18" s="11">
        <f>SUM(G18/E18)</f>
        <v>0.15789473684210525</v>
      </c>
    </row>
    <row r="19" spans="1:8" ht="24.9" customHeight="1" x14ac:dyDescent="0.3">
      <c r="A19" s="3" t="s">
        <v>54</v>
      </c>
      <c r="B19" s="16">
        <v>133</v>
      </c>
      <c r="C19" s="10">
        <v>123</v>
      </c>
      <c r="D19" s="11">
        <f>SUM(C19/B19)</f>
        <v>0.92481203007518797</v>
      </c>
      <c r="E19" s="10"/>
      <c r="F19" s="11"/>
      <c r="G19" s="10"/>
      <c r="H19" s="11"/>
    </row>
    <row r="20" spans="1:8" ht="24.9" customHeight="1" x14ac:dyDescent="0.3">
      <c r="A20" s="3" t="s">
        <v>210</v>
      </c>
      <c r="B20" s="16">
        <v>156</v>
      </c>
      <c r="C20" s="10">
        <v>15</v>
      </c>
      <c r="D20" s="11">
        <f>SUM(C20/B20)</f>
        <v>9.6153846153846159E-2</v>
      </c>
      <c r="E20" s="10">
        <v>21</v>
      </c>
      <c r="F20" s="11">
        <f>SUM(E20/B20)</f>
        <v>0.13461538461538461</v>
      </c>
      <c r="G20" s="10"/>
      <c r="H20" s="11"/>
    </row>
    <row r="21" spans="1:8" ht="24.9" customHeight="1" x14ac:dyDescent="0.3">
      <c r="A21" s="3" t="s">
        <v>55</v>
      </c>
      <c r="B21" s="16">
        <v>986</v>
      </c>
      <c r="C21" s="10">
        <v>85</v>
      </c>
      <c r="D21" s="11">
        <f>SUM(C21/B21)</f>
        <v>8.6206896551724144E-2</v>
      </c>
      <c r="E21" s="10">
        <v>161</v>
      </c>
      <c r="F21" s="11">
        <f>SUM(E21/B21)</f>
        <v>0.16328600405679514</v>
      </c>
      <c r="G21" s="10">
        <v>9</v>
      </c>
      <c r="H21" s="11">
        <f>SUM(G21/E21)</f>
        <v>5.5900621118012424E-2</v>
      </c>
    </row>
    <row r="22" spans="1:8" ht="24.9" customHeight="1" x14ac:dyDescent="0.3">
      <c r="A22" s="3" t="s">
        <v>56</v>
      </c>
      <c r="B22" s="16">
        <v>1917</v>
      </c>
      <c r="C22" s="10">
        <v>79</v>
      </c>
      <c r="D22" s="11">
        <f>SUM(C22/B22)</f>
        <v>4.1210224308815858E-2</v>
      </c>
      <c r="E22" s="10"/>
      <c r="F22" s="11"/>
      <c r="G22" s="10"/>
      <c r="H22" s="11"/>
    </row>
    <row r="23" spans="1:8" ht="24.9" customHeight="1" x14ac:dyDescent="0.3">
      <c r="A23" s="3" t="s">
        <v>12</v>
      </c>
      <c r="B23" s="16">
        <v>2994</v>
      </c>
      <c r="C23" s="10"/>
      <c r="D23" s="11"/>
      <c r="E23" s="10">
        <v>710</v>
      </c>
      <c r="F23" s="11">
        <f>SUM(E23/B23)</f>
        <v>0.23714094856379425</v>
      </c>
      <c r="G23" s="10">
        <v>122</v>
      </c>
      <c r="H23" s="11">
        <f>SUM(G23/E23)</f>
        <v>0.17183098591549295</v>
      </c>
    </row>
    <row r="24" spans="1:8" ht="24.9" customHeight="1" x14ac:dyDescent="0.3">
      <c r="A24" s="3" t="s">
        <v>57</v>
      </c>
      <c r="B24" s="16">
        <v>9253</v>
      </c>
      <c r="C24" s="10"/>
      <c r="D24" s="11"/>
      <c r="E24" s="10">
        <v>1570</v>
      </c>
      <c r="F24" s="11">
        <f>SUM(E24/B24)</f>
        <v>0.16967470009726576</v>
      </c>
      <c r="G24" s="10">
        <v>480</v>
      </c>
      <c r="H24" s="11">
        <f>SUM(G24/E24)</f>
        <v>0.30573248407643311</v>
      </c>
    </row>
    <row r="25" spans="1:8" ht="24.9" customHeight="1" x14ac:dyDescent="0.3">
      <c r="A25" s="3" t="s">
        <v>58</v>
      </c>
      <c r="B25" s="16">
        <v>708</v>
      </c>
      <c r="C25" s="10">
        <v>134</v>
      </c>
      <c r="D25" s="11">
        <f>SUM(C25/B25)</f>
        <v>0.18926553672316385</v>
      </c>
      <c r="E25" s="10"/>
      <c r="F25" s="11"/>
      <c r="G25" s="10"/>
      <c r="H25" s="11"/>
    </row>
    <row r="26" spans="1:8" ht="24.9" customHeight="1" x14ac:dyDescent="0.3">
      <c r="A26" s="3" t="s">
        <v>59</v>
      </c>
      <c r="B26" s="16">
        <v>906</v>
      </c>
      <c r="C26" s="10">
        <v>65</v>
      </c>
      <c r="D26" s="11">
        <f>SUM(C26/B26)</f>
        <v>7.1743929359823405E-2</v>
      </c>
      <c r="E26" s="10">
        <v>169</v>
      </c>
      <c r="F26" s="11">
        <f>SUM(E26/B26)</f>
        <v>0.18653421633554085</v>
      </c>
      <c r="G26" s="10">
        <v>6</v>
      </c>
      <c r="H26" s="11">
        <f>SUM(G26/E26)</f>
        <v>3.5502958579881658E-2</v>
      </c>
    </row>
    <row r="27" spans="1:8" ht="24.9" customHeight="1" x14ac:dyDescent="0.3">
      <c r="A27" s="3" t="s">
        <v>60</v>
      </c>
      <c r="B27" s="16">
        <v>887</v>
      </c>
      <c r="C27" s="10"/>
      <c r="D27" s="11"/>
      <c r="E27" s="10">
        <v>187</v>
      </c>
      <c r="F27" s="11">
        <f>SUM(E27/B27)</f>
        <v>0.21082299887260428</v>
      </c>
      <c r="G27" s="10">
        <v>7</v>
      </c>
      <c r="H27" s="11">
        <f>SUM(G27/E27)</f>
        <v>3.7433155080213901E-2</v>
      </c>
    </row>
    <row r="28" spans="1:8" ht="24.9" customHeight="1" x14ac:dyDescent="0.3">
      <c r="A28" s="3" t="s">
        <v>61</v>
      </c>
      <c r="B28" s="16">
        <v>2950</v>
      </c>
      <c r="C28" s="10">
        <v>122</v>
      </c>
      <c r="D28" s="11">
        <f>SUM(C28/B28)</f>
        <v>4.1355932203389831E-2</v>
      </c>
      <c r="E28" s="10">
        <v>840</v>
      </c>
      <c r="F28" s="11">
        <f>SUM(E28/B28)</f>
        <v>0.28474576271186441</v>
      </c>
      <c r="G28" s="10">
        <v>112</v>
      </c>
      <c r="H28" s="11">
        <f>SUM(G28/E28)</f>
        <v>0.13333333333333333</v>
      </c>
    </row>
    <row r="29" spans="1:8" ht="24.9" customHeight="1" x14ac:dyDescent="0.3">
      <c r="A29" s="3" t="s">
        <v>62</v>
      </c>
      <c r="B29" s="16">
        <v>988</v>
      </c>
      <c r="C29" s="10"/>
      <c r="D29" s="11"/>
      <c r="E29" s="10">
        <v>183</v>
      </c>
      <c r="F29" s="11">
        <f>SUM(E29/B29)</f>
        <v>0.18522267206477733</v>
      </c>
      <c r="G29" s="10">
        <v>5</v>
      </c>
      <c r="H29" s="11">
        <f>SUM(G29/E29)</f>
        <v>2.7322404371584699E-2</v>
      </c>
    </row>
    <row r="30" spans="1:8" ht="24.9" customHeight="1" x14ac:dyDescent="0.3">
      <c r="A30" s="3" t="s">
        <v>63</v>
      </c>
      <c r="B30" s="16">
        <v>421</v>
      </c>
      <c r="C30" s="10">
        <v>56</v>
      </c>
      <c r="D30" s="11">
        <f>SUM(C30/B30)</f>
        <v>0.1330166270783848</v>
      </c>
      <c r="E30" s="10"/>
      <c r="F30" s="11"/>
      <c r="G30" s="10"/>
      <c r="H30" s="11"/>
    </row>
    <row r="31" spans="1:8" ht="24.9" customHeight="1" x14ac:dyDescent="0.3">
      <c r="A31" s="3" t="s">
        <v>211</v>
      </c>
      <c r="B31" s="16">
        <v>647</v>
      </c>
      <c r="C31" s="10">
        <v>102</v>
      </c>
      <c r="D31" s="11">
        <f>SUM(C31/B31)</f>
        <v>0.15765069551777433</v>
      </c>
      <c r="E31" s="10"/>
      <c r="F31" s="11"/>
      <c r="G31" s="10"/>
      <c r="H31" s="11"/>
    </row>
    <row r="32" spans="1:8" ht="24.9" customHeight="1" x14ac:dyDescent="0.3">
      <c r="A32" s="3" t="s">
        <v>64</v>
      </c>
      <c r="B32" s="16">
        <v>1231</v>
      </c>
      <c r="C32" s="10"/>
      <c r="D32" s="11"/>
      <c r="E32" s="10">
        <v>244</v>
      </c>
      <c r="F32" s="11">
        <f t="shared" ref="F32:F39" si="0">SUM(E32/B32)</f>
        <v>0.19821283509341997</v>
      </c>
      <c r="G32" s="10">
        <v>11</v>
      </c>
      <c r="H32" s="11">
        <f t="shared" ref="H32:H39" si="1">SUM(G32/E32)</f>
        <v>4.5081967213114756E-2</v>
      </c>
    </row>
    <row r="33" spans="1:8" ht="24.9" customHeight="1" x14ac:dyDescent="0.3">
      <c r="A33" s="3" t="s">
        <v>65</v>
      </c>
      <c r="B33" s="16">
        <v>40588</v>
      </c>
      <c r="C33" s="10"/>
      <c r="D33" s="11"/>
      <c r="E33" s="10">
        <v>8112</v>
      </c>
      <c r="F33" s="11">
        <f t="shared" si="0"/>
        <v>0.19986202818567064</v>
      </c>
      <c r="G33" s="10">
        <v>1226</v>
      </c>
      <c r="H33" s="11">
        <f t="shared" si="1"/>
        <v>0.15113412228796844</v>
      </c>
    </row>
    <row r="34" spans="1:8" ht="24.9" customHeight="1" x14ac:dyDescent="0.3">
      <c r="A34" s="3" t="s">
        <v>66</v>
      </c>
      <c r="B34" s="16">
        <v>1172</v>
      </c>
      <c r="C34" s="10">
        <v>1</v>
      </c>
      <c r="D34" s="11">
        <f>SUM(C34/B34)</f>
        <v>8.5324232081911264E-4</v>
      </c>
      <c r="E34" s="10">
        <v>571</v>
      </c>
      <c r="F34" s="11">
        <f t="shared" si="0"/>
        <v>0.48720136518771329</v>
      </c>
      <c r="G34" s="10">
        <v>116</v>
      </c>
      <c r="H34" s="11">
        <f t="shared" si="1"/>
        <v>0.20315236427320491</v>
      </c>
    </row>
    <row r="35" spans="1:8" ht="24.9" customHeight="1" x14ac:dyDescent="0.3">
      <c r="A35" s="3" t="s">
        <v>67</v>
      </c>
      <c r="B35" s="16">
        <v>1395</v>
      </c>
      <c r="C35" s="10">
        <v>90</v>
      </c>
      <c r="D35" s="11">
        <f>SUM(C35/B35)</f>
        <v>6.4516129032258063E-2</v>
      </c>
      <c r="E35" s="10">
        <v>305</v>
      </c>
      <c r="F35" s="11">
        <f t="shared" si="0"/>
        <v>0.21863799283154123</v>
      </c>
      <c r="G35" s="10">
        <v>58</v>
      </c>
      <c r="H35" s="11">
        <f t="shared" si="1"/>
        <v>0.1901639344262295</v>
      </c>
    </row>
    <row r="36" spans="1:8" ht="24.9" customHeight="1" x14ac:dyDescent="0.3">
      <c r="A36" s="3" t="s">
        <v>68</v>
      </c>
      <c r="B36" s="16">
        <v>3253</v>
      </c>
      <c r="C36" s="10">
        <v>290</v>
      </c>
      <c r="D36" s="11">
        <f>SUM(C36/B36)</f>
        <v>8.9148478327697511E-2</v>
      </c>
      <c r="E36" s="10">
        <v>363</v>
      </c>
      <c r="F36" s="11">
        <f t="shared" si="0"/>
        <v>0.11158930218260067</v>
      </c>
      <c r="G36" s="10">
        <v>23</v>
      </c>
      <c r="H36" s="11">
        <f t="shared" si="1"/>
        <v>6.3360881542699726E-2</v>
      </c>
    </row>
    <row r="37" spans="1:8" ht="24.9" customHeight="1" x14ac:dyDescent="0.3">
      <c r="A37" s="3" t="s">
        <v>13</v>
      </c>
      <c r="B37" s="16">
        <v>661</v>
      </c>
      <c r="C37" s="10">
        <v>37</v>
      </c>
      <c r="D37" s="11">
        <f>SUM(C37/B37)</f>
        <v>5.5975794251134643E-2</v>
      </c>
      <c r="E37" s="10">
        <v>94</v>
      </c>
      <c r="F37" s="11">
        <f t="shared" si="0"/>
        <v>0.14220877458396369</v>
      </c>
      <c r="G37" s="10">
        <v>3</v>
      </c>
      <c r="H37" s="11">
        <f t="shared" si="1"/>
        <v>3.1914893617021274E-2</v>
      </c>
    </row>
    <row r="38" spans="1:8" ht="24.9" customHeight="1" x14ac:dyDescent="0.3">
      <c r="A38" s="3" t="s">
        <v>69</v>
      </c>
      <c r="B38" s="16">
        <v>3091</v>
      </c>
      <c r="C38" s="10"/>
      <c r="D38" s="11"/>
      <c r="E38" s="10">
        <v>749</v>
      </c>
      <c r="F38" s="11">
        <f t="shared" si="0"/>
        <v>0.24231640245875122</v>
      </c>
      <c r="G38" s="10">
        <v>135</v>
      </c>
      <c r="H38" s="11">
        <f t="shared" si="1"/>
        <v>0.18024032042723631</v>
      </c>
    </row>
    <row r="39" spans="1:8" s="13" customFormat="1" ht="24.9" customHeight="1" x14ac:dyDescent="0.3">
      <c r="A39" s="3" t="s">
        <v>239</v>
      </c>
      <c r="B39" s="16">
        <v>1149</v>
      </c>
      <c r="C39" s="10">
        <v>68</v>
      </c>
      <c r="D39" s="11">
        <f t="shared" ref="D39" si="2">SUM(C39/B39)</f>
        <v>5.918189730200174E-2</v>
      </c>
      <c r="E39" s="10">
        <v>226</v>
      </c>
      <c r="F39" s="11">
        <f t="shared" si="0"/>
        <v>0.19669277632724108</v>
      </c>
      <c r="G39" s="10">
        <v>9</v>
      </c>
      <c r="H39" s="11">
        <f t="shared" si="1"/>
        <v>3.9823008849557522E-2</v>
      </c>
    </row>
    <row r="40" spans="1:8" ht="24.9" customHeight="1" x14ac:dyDescent="0.3">
      <c r="A40" s="3" t="s">
        <v>226</v>
      </c>
      <c r="B40" s="16">
        <v>716</v>
      </c>
      <c r="C40" s="10">
        <v>81</v>
      </c>
      <c r="D40" s="11">
        <f>SUM(C40/B40)</f>
        <v>0.11312849162011174</v>
      </c>
      <c r="E40" s="10"/>
      <c r="F40" s="11"/>
      <c r="G40" s="10"/>
      <c r="H40" s="11"/>
    </row>
    <row r="41" spans="1:8" ht="24.9" customHeight="1" x14ac:dyDescent="0.3">
      <c r="A41" s="3" t="s">
        <v>70</v>
      </c>
      <c r="B41" s="16">
        <v>3259</v>
      </c>
      <c r="C41" s="10">
        <v>100</v>
      </c>
      <c r="D41" s="11">
        <f>SUM(C41/B41)</f>
        <v>3.0684258975145751E-2</v>
      </c>
      <c r="E41" s="10">
        <v>870</v>
      </c>
      <c r="F41" s="11">
        <f>SUM(E41/B41)</f>
        <v>0.26695305308376804</v>
      </c>
      <c r="G41" s="10">
        <v>160</v>
      </c>
      <c r="H41" s="11"/>
    </row>
    <row r="42" spans="1:8" ht="24.9" customHeight="1" x14ac:dyDescent="0.3">
      <c r="A42" s="3" t="s">
        <v>71</v>
      </c>
      <c r="B42" s="16">
        <v>968</v>
      </c>
      <c r="C42" s="10">
        <v>78</v>
      </c>
      <c r="D42" s="11">
        <f>SUM(C42/B42)</f>
        <v>8.057851239669421E-2</v>
      </c>
      <c r="E42" s="10"/>
      <c r="F42" s="11"/>
      <c r="G42" s="10"/>
      <c r="H42" s="11"/>
    </row>
    <row r="43" spans="1:8" ht="24.9" customHeight="1" x14ac:dyDescent="0.3">
      <c r="A43" s="3" t="s">
        <v>72</v>
      </c>
      <c r="B43" s="16">
        <v>2402</v>
      </c>
      <c r="C43" s="10">
        <v>100</v>
      </c>
      <c r="D43" s="11">
        <f>SUM(C43/B43)</f>
        <v>4.1631973355537054E-2</v>
      </c>
      <c r="E43" s="10">
        <v>476</v>
      </c>
      <c r="F43" s="11">
        <f t="shared" ref="F43:F50" si="3">SUM(E43/B43)</f>
        <v>0.19816819317235637</v>
      </c>
      <c r="G43" s="10">
        <v>47</v>
      </c>
      <c r="H43" s="11">
        <f t="shared" ref="H43:H49" si="4">SUM(G43/E43)</f>
        <v>9.8739495798319324E-2</v>
      </c>
    </row>
    <row r="44" spans="1:8" ht="24.9" customHeight="1" x14ac:dyDescent="0.3">
      <c r="A44" s="3" t="s">
        <v>73</v>
      </c>
      <c r="B44" s="16">
        <v>1054</v>
      </c>
      <c r="C44" s="10"/>
      <c r="D44" s="11"/>
      <c r="E44" s="10">
        <v>233</v>
      </c>
      <c r="F44" s="11">
        <f t="shared" si="3"/>
        <v>0.22106261859582543</v>
      </c>
      <c r="G44" s="10">
        <v>8</v>
      </c>
      <c r="H44" s="11">
        <f t="shared" si="4"/>
        <v>3.4334763948497854E-2</v>
      </c>
    </row>
    <row r="45" spans="1:8" ht="24.9" customHeight="1" x14ac:dyDescent="0.3">
      <c r="A45" s="3" t="s">
        <v>74</v>
      </c>
      <c r="B45" s="16">
        <v>1972</v>
      </c>
      <c r="C45" s="10"/>
      <c r="D45" s="11"/>
      <c r="E45" s="10">
        <v>440</v>
      </c>
      <c r="F45" s="11">
        <f t="shared" si="3"/>
        <v>0.2231237322515213</v>
      </c>
      <c r="G45" s="10">
        <v>27</v>
      </c>
      <c r="H45" s="11">
        <f t="shared" si="4"/>
        <v>6.1363636363636363E-2</v>
      </c>
    </row>
    <row r="46" spans="1:8" ht="24.9" customHeight="1" x14ac:dyDescent="0.3">
      <c r="A46" s="3" t="s">
        <v>75</v>
      </c>
      <c r="B46" s="16">
        <v>11085</v>
      </c>
      <c r="C46" s="10"/>
      <c r="D46" s="11"/>
      <c r="E46" s="10">
        <v>2631</v>
      </c>
      <c r="F46" s="11">
        <f t="shared" si="3"/>
        <v>0.23734776725304466</v>
      </c>
      <c r="G46" s="10">
        <v>724</v>
      </c>
      <c r="H46" s="11">
        <f t="shared" si="4"/>
        <v>0.27518053971873813</v>
      </c>
    </row>
    <row r="47" spans="1:8" ht="24.9" customHeight="1" x14ac:dyDescent="0.3">
      <c r="A47" s="3" t="s">
        <v>76</v>
      </c>
      <c r="B47" s="16">
        <v>862</v>
      </c>
      <c r="C47" s="10"/>
      <c r="D47" s="11"/>
      <c r="E47" s="10">
        <v>181</v>
      </c>
      <c r="F47" s="11">
        <f t="shared" si="3"/>
        <v>0.20997679814385151</v>
      </c>
      <c r="G47" s="10">
        <v>32</v>
      </c>
      <c r="H47" s="11">
        <f t="shared" si="4"/>
        <v>0.17679558011049723</v>
      </c>
    </row>
    <row r="48" spans="1:8" ht="24.9" customHeight="1" x14ac:dyDescent="0.3">
      <c r="A48" s="3" t="s">
        <v>77</v>
      </c>
      <c r="B48" s="16">
        <v>1013</v>
      </c>
      <c r="C48" s="10"/>
      <c r="D48" s="11"/>
      <c r="E48" s="10">
        <v>130</v>
      </c>
      <c r="F48" s="11">
        <f t="shared" si="3"/>
        <v>0.12833168805528133</v>
      </c>
      <c r="G48" s="10">
        <v>6</v>
      </c>
      <c r="H48" s="11">
        <f t="shared" si="4"/>
        <v>4.6153846153846156E-2</v>
      </c>
    </row>
    <row r="49" spans="1:8" ht="24.9" customHeight="1" x14ac:dyDescent="0.3">
      <c r="A49" s="3" t="s">
        <v>78</v>
      </c>
      <c r="B49" s="16">
        <v>975</v>
      </c>
      <c r="C49" s="10">
        <v>100</v>
      </c>
      <c r="D49" s="11">
        <f t="shared" ref="D49:D55" si="5">SUM(C49/B49)</f>
        <v>0.10256410256410256</v>
      </c>
      <c r="E49" s="10">
        <v>243</v>
      </c>
      <c r="F49" s="11">
        <f t="shared" si="3"/>
        <v>0.24923076923076923</v>
      </c>
      <c r="G49" s="10">
        <v>9</v>
      </c>
      <c r="H49" s="11">
        <f t="shared" si="4"/>
        <v>3.7037037037037035E-2</v>
      </c>
    </row>
    <row r="50" spans="1:8" ht="24.9" customHeight="1" x14ac:dyDescent="0.3">
      <c r="A50" s="3" t="s">
        <v>234</v>
      </c>
      <c r="B50" s="16">
        <v>759</v>
      </c>
      <c r="C50" s="10">
        <v>130</v>
      </c>
      <c r="D50" s="11">
        <f t="shared" si="5"/>
        <v>0.17127799736495389</v>
      </c>
      <c r="E50" s="10">
        <v>148</v>
      </c>
      <c r="F50" s="11">
        <f t="shared" si="3"/>
        <v>0.19499341238471674</v>
      </c>
      <c r="G50" s="10"/>
      <c r="H50" s="11"/>
    </row>
    <row r="51" spans="1:8" ht="24.9" customHeight="1" x14ac:dyDescent="0.3">
      <c r="A51" s="3" t="s">
        <v>79</v>
      </c>
      <c r="B51" s="16">
        <v>908</v>
      </c>
      <c r="C51" s="10">
        <v>124</v>
      </c>
      <c r="D51" s="11">
        <f t="shared" si="5"/>
        <v>0.13656387665198239</v>
      </c>
      <c r="E51" s="10"/>
      <c r="F51" s="11"/>
      <c r="G51" s="10"/>
      <c r="H51" s="11"/>
    </row>
    <row r="52" spans="1:8" ht="24.9" customHeight="1" x14ac:dyDescent="0.3">
      <c r="A52" s="3" t="s">
        <v>212</v>
      </c>
      <c r="B52" s="16">
        <v>911</v>
      </c>
      <c r="C52" s="10">
        <v>52</v>
      </c>
      <c r="D52" s="11">
        <f t="shared" si="5"/>
        <v>5.7080131723380903E-2</v>
      </c>
      <c r="E52" s="10">
        <v>635</v>
      </c>
      <c r="F52" s="11">
        <f t="shared" ref="F52:F60" si="6">SUM(E52/B52)</f>
        <v>0.69703622392974751</v>
      </c>
      <c r="G52" s="10">
        <v>143</v>
      </c>
      <c r="H52" s="11">
        <f t="shared" ref="H52:H60" si="7">SUM(G52/E52)</f>
        <v>0.2251968503937008</v>
      </c>
    </row>
    <row r="53" spans="1:8" ht="24.9" customHeight="1" x14ac:dyDescent="0.3">
      <c r="A53" s="3" t="s">
        <v>80</v>
      </c>
      <c r="B53" s="16">
        <v>1757</v>
      </c>
      <c r="C53" s="10">
        <v>227</v>
      </c>
      <c r="D53" s="11">
        <f t="shared" si="5"/>
        <v>0.12919749573136027</v>
      </c>
      <c r="E53" s="10">
        <v>239</v>
      </c>
      <c r="F53" s="11">
        <f t="shared" si="6"/>
        <v>0.13602731929425158</v>
      </c>
      <c r="G53" s="10">
        <v>13</v>
      </c>
      <c r="H53" s="11">
        <f t="shared" si="7"/>
        <v>5.4393305439330547E-2</v>
      </c>
    </row>
    <row r="54" spans="1:8" ht="24.9" customHeight="1" x14ac:dyDescent="0.3">
      <c r="A54" s="3" t="s">
        <v>81</v>
      </c>
      <c r="B54" s="16">
        <v>3381</v>
      </c>
      <c r="C54" s="10">
        <v>103</v>
      </c>
      <c r="D54" s="11">
        <f t="shared" si="5"/>
        <v>3.0464359656906241E-2</v>
      </c>
      <c r="E54" s="10">
        <v>650</v>
      </c>
      <c r="F54" s="11">
        <f t="shared" si="6"/>
        <v>0.1922508133688258</v>
      </c>
      <c r="G54" s="10">
        <v>171</v>
      </c>
      <c r="H54" s="11">
        <f t="shared" si="7"/>
        <v>0.2630769230769231</v>
      </c>
    </row>
    <row r="55" spans="1:8" ht="24.9" customHeight="1" x14ac:dyDescent="0.3">
      <c r="A55" s="3" t="s">
        <v>14</v>
      </c>
      <c r="B55" s="16">
        <v>1767</v>
      </c>
      <c r="C55" s="10">
        <v>100</v>
      </c>
      <c r="D55" s="11">
        <f t="shared" si="5"/>
        <v>5.6593095642331635E-2</v>
      </c>
      <c r="E55" s="10">
        <v>328</v>
      </c>
      <c r="F55" s="11">
        <f t="shared" si="6"/>
        <v>0.18562535370684777</v>
      </c>
      <c r="G55" s="10">
        <v>29</v>
      </c>
      <c r="H55" s="11">
        <f t="shared" si="7"/>
        <v>8.8414634146341459E-2</v>
      </c>
    </row>
    <row r="56" spans="1:8" ht="24.9" customHeight="1" x14ac:dyDescent="0.3">
      <c r="A56" s="3" t="s">
        <v>241</v>
      </c>
      <c r="B56" s="16">
        <v>1291</v>
      </c>
      <c r="C56" s="10"/>
      <c r="D56" s="11"/>
      <c r="E56" s="10">
        <v>146</v>
      </c>
      <c r="F56" s="11">
        <f t="shared" si="6"/>
        <v>0.11309062742060419</v>
      </c>
      <c r="G56" s="10">
        <v>7</v>
      </c>
      <c r="H56" s="11">
        <f t="shared" si="7"/>
        <v>4.7945205479452052E-2</v>
      </c>
    </row>
    <row r="57" spans="1:8" ht="24.9" customHeight="1" x14ac:dyDescent="0.3">
      <c r="A57" s="3" t="s">
        <v>15</v>
      </c>
      <c r="B57" s="16">
        <v>1607</v>
      </c>
      <c r="C57" s="10"/>
      <c r="D57" s="11"/>
      <c r="E57" s="10">
        <v>330</v>
      </c>
      <c r="F57" s="11">
        <f t="shared" si="6"/>
        <v>0.20535158680771623</v>
      </c>
      <c r="G57" s="10">
        <v>20</v>
      </c>
      <c r="H57" s="11">
        <f t="shared" si="7"/>
        <v>6.0606060606060608E-2</v>
      </c>
    </row>
    <row r="58" spans="1:8" ht="24.9" customHeight="1" x14ac:dyDescent="0.3">
      <c r="A58" s="3" t="s">
        <v>82</v>
      </c>
      <c r="B58" s="16">
        <v>1145</v>
      </c>
      <c r="C58" s="10">
        <v>98</v>
      </c>
      <c r="D58" s="11">
        <f>SUM(C58/B58)</f>
        <v>8.5589519650655019E-2</v>
      </c>
      <c r="E58" s="10">
        <v>220</v>
      </c>
      <c r="F58" s="11">
        <f t="shared" si="6"/>
        <v>0.19213973799126638</v>
      </c>
      <c r="G58" s="10">
        <v>5</v>
      </c>
      <c r="H58" s="11">
        <f t="shared" si="7"/>
        <v>2.2727272727272728E-2</v>
      </c>
    </row>
    <row r="59" spans="1:8" ht="24.9" customHeight="1" x14ac:dyDescent="0.3">
      <c r="A59" s="3" t="s">
        <v>213</v>
      </c>
      <c r="B59" s="16">
        <v>193</v>
      </c>
      <c r="C59" s="10"/>
      <c r="D59" s="11"/>
      <c r="E59" s="10">
        <v>50</v>
      </c>
      <c r="F59" s="11">
        <f t="shared" si="6"/>
        <v>0.25906735751295334</v>
      </c>
      <c r="G59" s="10">
        <v>9</v>
      </c>
      <c r="H59" s="11">
        <f t="shared" si="7"/>
        <v>0.18</v>
      </c>
    </row>
    <row r="60" spans="1:8" ht="24.9" customHeight="1" x14ac:dyDescent="0.3">
      <c r="A60" s="3" t="s">
        <v>83</v>
      </c>
      <c r="B60" s="16">
        <v>2224</v>
      </c>
      <c r="C60" s="10"/>
      <c r="D60" s="11"/>
      <c r="E60" s="10">
        <v>393</v>
      </c>
      <c r="F60" s="11">
        <f t="shared" si="6"/>
        <v>0.17670863309352519</v>
      </c>
      <c r="G60" s="10">
        <v>50</v>
      </c>
      <c r="H60" s="11">
        <f t="shared" si="7"/>
        <v>0.1272264631043257</v>
      </c>
    </row>
    <row r="61" spans="1:8" ht="24.9" customHeight="1" x14ac:dyDescent="0.3">
      <c r="A61" s="3" t="s">
        <v>84</v>
      </c>
      <c r="B61" s="16">
        <v>860</v>
      </c>
      <c r="C61" s="10">
        <v>71</v>
      </c>
      <c r="D61" s="11">
        <f>SUM(C61/B61)</f>
        <v>8.2558139534883723E-2</v>
      </c>
      <c r="E61" s="10"/>
      <c r="F61" s="11"/>
      <c r="G61" s="10"/>
      <c r="H61" s="11"/>
    </row>
    <row r="62" spans="1:8" ht="24.9" customHeight="1" x14ac:dyDescent="0.3">
      <c r="A62" s="3" t="s">
        <v>85</v>
      </c>
      <c r="B62" s="16">
        <v>742</v>
      </c>
      <c r="C62" s="10">
        <v>93</v>
      </c>
      <c r="D62" s="11">
        <f>SUM(C62/B62)</f>
        <v>0.12533692722371967</v>
      </c>
      <c r="E62" s="10">
        <v>189</v>
      </c>
      <c r="F62" s="11">
        <f>SUM(E62/B62)</f>
        <v>0.25471698113207547</v>
      </c>
      <c r="G62" s="10">
        <v>21</v>
      </c>
      <c r="H62" s="11">
        <f>SUM(G62/E62)</f>
        <v>0.1111111111111111</v>
      </c>
    </row>
    <row r="63" spans="1:8" ht="24.9" customHeight="1" x14ac:dyDescent="0.3">
      <c r="A63" s="3" t="s">
        <v>16</v>
      </c>
      <c r="B63" s="16">
        <v>2253</v>
      </c>
      <c r="C63" s="10">
        <v>100</v>
      </c>
      <c r="D63" s="11">
        <f>SUM(C63/B63)</f>
        <v>4.4385264092321353E-2</v>
      </c>
      <c r="E63" s="10"/>
      <c r="F63" s="11"/>
      <c r="G63" s="10"/>
      <c r="H63" s="11"/>
    </row>
    <row r="64" spans="1:8" ht="24.9" customHeight="1" x14ac:dyDescent="0.3">
      <c r="A64" s="3" t="s">
        <v>235</v>
      </c>
      <c r="B64" s="16">
        <v>16082</v>
      </c>
      <c r="C64" s="10"/>
      <c r="D64" s="11"/>
      <c r="E64" s="10">
        <v>1746</v>
      </c>
      <c r="F64" s="11">
        <f>SUM(E64/B64)</f>
        <v>0.10856858599676657</v>
      </c>
      <c r="G64" s="10">
        <v>280</v>
      </c>
      <c r="H64" s="11">
        <f>SUM(G64/E64)</f>
        <v>0.16036655211912945</v>
      </c>
    </row>
    <row r="65" spans="1:8" ht="24.9" customHeight="1" x14ac:dyDescent="0.3">
      <c r="A65" s="3" t="s">
        <v>17</v>
      </c>
      <c r="B65" s="16">
        <v>1790</v>
      </c>
      <c r="C65" s="10"/>
      <c r="D65" s="11"/>
      <c r="E65" s="10">
        <v>385</v>
      </c>
      <c r="F65" s="11">
        <f>SUM(E65/B65)</f>
        <v>0.21508379888268156</v>
      </c>
      <c r="G65" s="10">
        <v>55</v>
      </c>
      <c r="H65" s="11">
        <f>SUM(G65/E65)</f>
        <v>0.14285714285714285</v>
      </c>
    </row>
    <row r="66" spans="1:8" ht="24.9" customHeight="1" x14ac:dyDescent="0.3">
      <c r="A66" s="3" t="s">
        <v>18</v>
      </c>
      <c r="B66" s="16">
        <v>3960</v>
      </c>
      <c r="C66" s="10"/>
      <c r="D66" s="11"/>
      <c r="E66" s="10">
        <v>762</v>
      </c>
      <c r="F66" s="11">
        <f>SUM(E66/B66)</f>
        <v>0.19242424242424241</v>
      </c>
      <c r="G66" s="10">
        <v>56</v>
      </c>
      <c r="H66" s="11">
        <f>SUM(G66/E66)</f>
        <v>7.3490813648293962E-2</v>
      </c>
    </row>
    <row r="67" spans="1:8" ht="24.9" customHeight="1" x14ac:dyDescent="0.3">
      <c r="A67" s="3" t="s">
        <v>86</v>
      </c>
      <c r="B67" s="16">
        <v>1408</v>
      </c>
      <c r="C67" s="10">
        <v>75</v>
      </c>
      <c r="D67" s="11">
        <f t="shared" ref="D67:D82" si="8">SUM(C67/B67)</f>
        <v>5.3267045454545456E-2</v>
      </c>
      <c r="E67" s="10"/>
      <c r="F67" s="11"/>
      <c r="G67" s="10">
        <v>51</v>
      </c>
      <c r="H67" s="11"/>
    </row>
    <row r="68" spans="1:8" ht="24.9" customHeight="1" x14ac:dyDescent="0.3">
      <c r="A68" s="3" t="s">
        <v>87</v>
      </c>
      <c r="B68" s="16">
        <v>752</v>
      </c>
      <c r="C68" s="10">
        <v>74</v>
      </c>
      <c r="D68" s="11">
        <f t="shared" si="8"/>
        <v>9.8404255319148939E-2</v>
      </c>
      <c r="E68" s="10"/>
      <c r="F68" s="11"/>
      <c r="G68" s="10"/>
      <c r="H68" s="11"/>
    </row>
    <row r="69" spans="1:8" ht="24.9" customHeight="1" x14ac:dyDescent="0.3">
      <c r="A69" s="3" t="s">
        <v>214</v>
      </c>
      <c r="B69" s="16">
        <v>1243</v>
      </c>
      <c r="C69" s="10">
        <v>92</v>
      </c>
      <c r="D69" s="11">
        <f t="shared" si="8"/>
        <v>7.4014481094127116E-2</v>
      </c>
      <c r="E69" s="10">
        <v>131</v>
      </c>
      <c r="F69" s="11">
        <f>SUM(E69/B69)</f>
        <v>0.10539018503620273</v>
      </c>
      <c r="G69" s="10"/>
      <c r="H69" s="11"/>
    </row>
    <row r="70" spans="1:8" ht="24.9" customHeight="1" x14ac:dyDescent="0.3">
      <c r="A70" s="3" t="s">
        <v>88</v>
      </c>
      <c r="B70" s="16">
        <v>2274</v>
      </c>
      <c r="C70" s="10">
        <v>93</v>
      </c>
      <c r="D70" s="11">
        <f t="shared" si="8"/>
        <v>4.0897097625329816E-2</v>
      </c>
      <c r="E70" s="10">
        <v>455</v>
      </c>
      <c r="F70" s="11">
        <f>SUM(E70/B70)</f>
        <v>0.20008795074758134</v>
      </c>
      <c r="G70" s="10">
        <v>88</v>
      </c>
      <c r="H70" s="11">
        <f>SUM(G70/E70)</f>
        <v>0.19340659340659341</v>
      </c>
    </row>
    <row r="71" spans="1:8" ht="24.9" customHeight="1" x14ac:dyDescent="0.3">
      <c r="A71" s="3" t="s">
        <v>89</v>
      </c>
      <c r="B71" s="16">
        <v>1012</v>
      </c>
      <c r="C71" s="10">
        <v>132</v>
      </c>
      <c r="D71" s="11">
        <f t="shared" si="8"/>
        <v>0.13043478260869565</v>
      </c>
      <c r="E71" s="10"/>
      <c r="F71" s="11"/>
      <c r="G71" s="10"/>
      <c r="H71" s="11"/>
    </row>
    <row r="72" spans="1:8" ht="24.9" customHeight="1" x14ac:dyDescent="0.3">
      <c r="A72" s="3" t="s">
        <v>90</v>
      </c>
      <c r="B72" s="16">
        <v>973</v>
      </c>
      <c r="C72" s="10">
        <v>98</v>
      </c>
      <c r="D72" s="11">
        <f t="shared" si="8"/>
        <v>0.10071942446043165</v>
      </c>
      <c r="E72" s="10"/>
      <c r="F72" s="11"/>
      <c r="G72" s="10"/>
      <c r="H72" s="11"/>
    </row>
    <row r="73" spans="1:8" ht="24.9" customHeight="1" x14ac:dyDescent="0.3">
      <c r="A73" s="3" t="s">
        <v>91</v>
      </c>
      <c r="B73" s="16">
        <v>3767</v>
      </c>
      <c r="C73" s="10">
        <v>85</v>
      </c>
      <c r="D73" s="11">
        <f t="shared" si="8"/>
        <v>2.2564374834085479E-2</v>
      </c>
      <c r="E73" s="10">
        <v>712</v>
      </c>
      <c r="F73" s="11">
        <f>SUM(E73/B73)</f>
        <v>0.18900982213963366</v>
      </c>
      <c r="G73" s="10">
        <v>92</v>
      </c>
      <c r="H73" s="11">
        <f>SUM(G73/E73)</f>
        <v>0.12921348314606743</v>
      </c>
    </row>
    <row r="74" spans="1:8" ht="24.9" customHeight="1" x14ac:dyDescent="0.3">
      <c r="A74" s="3" t="s">
        <v>19</v>
      </c>
      <c r="B74" s="16">
        <v>112</v>
      </c>
      <c r="C74" s="10">
        <v>78</v>
      </c>
      <c r="D74" s="11">
        <f t="shared" si="8"/>
        <v>0.6964285714285714</v>
      </c>
      <c r="E74" s="10"/>
      <c r="F74" s="11"/>
      <c r="G74" s="10"/>
      <c r="H74" s="11"/>
    </row>
    <row r="75" spans="1:8" ht="24.9" customHeight="1" x14ac:dyDescent="0.3">
      <c r="A75" s="3" t="s">
        <v>92</v>
      </c>
      <c r="B75" s="16">
        <v>159</v>
      </c>
      <c r="C75" s="10">
        <v>33</v>
      </c>
      <c r="D75" s="11">
        <f t="shared" si="8"/>
        <v>0.20754716981132076</v>
      </c>
      <c r="E75" s="10">
        <v>62</v>
      </c>
      <c r="F75" s="11">
        <f>SUM(E75/B75)</f>
        <v>0.38993710691823902</v>
      </c>
      <c r="G75" s="10">
        <v>3</v>
      </c>
      <c r="H75" s="11">
        <f>SUM(G75/E75)</f>
        <v>4.8387096774193547E-2</v>
      </c>
    </row>
    <row r="76" spans="1:8" ht="24.9" customHeight="1" x14ac:dyDescent="0.3">
      <c r="A76" s="3" t="s">
        <v>20</v>
      </c>
      <c r="B76" s="16">
        <v>354</v>
      </c>
      <c r="C76" s="10">
        <v>67</v>
      </c>
      <c r="D76" s="11">
        <f t="shared" si="8"/>
        <v>0.18926553672316385</v>
      </c>
      <c r="E76" s="10">
        <v>124</v>
      </c>
      <c r="F76" s="11">
        <f>SUM(E76/B76)</f>
        <v>0.35028248587570621</v>
      </c>
      <c r="G76" s="10">
        <v>7</v>
      </c>
      <c r="H76" s="11">
        <f>SUM(G76/E76)</f>
        <v>5.6451612903225805E-2</v>
      </c>
    </row>
    <row r="77" spans="1:8" ht="24.9" customHeight="1" x14ac:dyDescent="0.3">
      <c r="A77" s="3" t="s">
        <v>93</v>
      </c>
      <c r="B77" s="16">
        <v>58</v>
      </c>
      <c r="C77" s="10">
        <v>10</v>
      </c>
      <c r="D77" s="11">
        <f t="shared" si="8"/>
        <v>0.17241379310344829</v>
      </c>
      <c r="E77" s="10">
        <v>14</v>
      </c>
      <c r="F77" s="11">
        <f>SUM(E77/B77)</f>
        <v>0.2413793103448276</v>
      </c>
      <c r="G77" s="10">
        <v>3</v>
      </c>
      <c r="H77" s="11">
        <f>SUM(G77/E77)</f>
        <v>0.21428571428571427</v>
      </c>
    </row>
    <row r="78" spans="1:8" ht="24.9" customHeight="1" x14ac:dyDescent="0.3">
      <c r="A78" s="3" t="s">
        <v>94</v>
      </c>
      <c r="B78" s="16">
        <v>604</v>
      </c>
      <c r="C78" s="10">
        <v>110</v>
      </c>
      <c r="D78" s="11">
        <f t="shared" si="8"/>
        <v>0.18211920529801323</v>
      </c>
      <c r="E78" s="10">
        <v>93</v>
      </c>
      <c r="F78" s="11">
        <f>SUM(E78/B78)</f>
        <v>0.15397350993377484</v>
      </c>
      <c r="G78" s="10"/>
      <c r="H78" s="11"/>
    </row>
    <row r="79" spans="1:8" ht="24.9" customHeight="1" x14ac:dyDescent="0.3">
      <c r="A79" s="3" t="s">
        <v>21</v>
      </c>
      <c r="B79" s="16">
        <v>734</v>
      </c>
      <c r="C79" s="10">
        <v>89</v>
      </c>
      <c r="D79" s="11">
        <f t="shared" si="8"/>
        <v>0.12125340599455041</v>
      </c>
      <c r="E79" s="10"/>
      <c r="F79" s="11"/>
      <c r="G79" s="10"/>
      <c r="H79" s="11"/>
    </row>
    <row r="80" spans="1:8" ht="24.9" customHeight="1" x14ac:dyDescent="0.3">
      <c r="A80" s="3" t="s">
        <v>95</v>
      </c>
      <c r="B80" s="16">
        <v>182</v>
      </c>
      <c r="C80" s="10">
        <v>20</v>
      </c>
      <c r="D80" s="11">
        <f t="shared" si="8"/>
        <v>0.10989010989010989</v>
      </c>
      <c r="E80" s="10">
        <v>64</v>
      </c>
      <c r="F80" s="11">
        <f t="shared" ref="F80:F95" si="9">SUM(E80/B80)</f>
        <v>0.35164835164835168</v>
      </c>
      <c r="G80" s="10">
        <v>8</v>
      </c>
      <c r="H80" s="11">
        <f t="shared" ref="H80:H93" si="10">SUM(G80/E80)</f>
        <v>0.125</v>
      </c>
    </row>
    <row r="81" spans="1:8" ht="24.9" customHeight="1" x14ac:dyDescent="0.3">
      <c r="A81" s="3" t="s">
        <v>96</v>
      </c>
      <c r="B81" s="16">
        <v>1730</v>
      </c>
      <c r="C81" s="10"/>
      <c r="D81" s="11"/>
      <c r="E81" s="10">
        <v>436</v>
      </c>
      <c r="F81" s="11">
        <f t="shared" si="9"/>
        <v>0.25202312138728322</v>
      </c>
      <c r="G81" s="10">
        <v>53</v>
      </c>
      <c r="H81" s="11">
        <f t="shared" si="10"/>
        <v>0.12155963302752294</v>
      </c>
    </row>
    <row r="82" spans="1:8" s="13" customFormat="1" ht="24.9" customHeight="1" x14ac:dyDescent="0.3">
      <c r="A82" s="3" t="s">
        <v>242</v>
      </c>
      <c r="B82" s="16">
        <v>574</v>
      </c>
      <c r="C82" s="10">
        <v>50</v>
      </c>
      <c r="D82" s="11">
        <f t="shared" si="8"/>
        <v>8.7108013937282236E-2</v>
      </c>
      <c r="E82" s="10">
        <v>162</v>
      </c>
      <c r="F82" s="11">
        <f t="shared" si="9"/>
        <v>0.28222996515679444</v>
      </c>
      <c r="G82" s="10">
        <v>20</v>
      </c>
      <c r="H82" s="11">
        <f t="shared" si="10"/>
        <v>0.12345679012345678</v>
      </c>
    </row>
    <row r="83" spans="1:8" ht="24.9" customHeight="1" x14ac:dyDescent="0.3">
      <c r="A83" s="3" t="s">
        <v>22</v>
      </c>
      <c r="B83" s="16">
        <v>299</v>
      </c>
      <c r="C83" s="10">
        <v>36</v>
      </c>
      <c r="D83" s="11">
        <f>SUM(C83/B83)</f>
        <v>0.12040133779264214</v>
      </c>
      <c r="E83" s="10">
        <v>36</v>
      </c>
      <c r="F83" s="11">
        <f t="shared" si="9"/>
        <v>0.12040133779264214</v>
      </c>
      <c r="G83" s="10"/>
      <c r="H83" s="11">
        <f t="shared" si="10"/>
        <v>0</v>
      </c>
    </row>
    <row r="84" spans="1:8" ht="24.9" customHeight="1" x14ac:dyDescent="0.3">
      <c r="A84" s="3" t="s">
        <v>215</v>
      </c>
      <c r="B84" s="16">
        <v>2264</v>
      </c>
      <c r="C84" s="10">
        <v>85</v>
      </c>
      <c r="D84" s="11">
        <f>SUM(C84/B84)</f>
        <v>3.7544169611307424E-2</v>
      </c>
      <c r="E84" s="10">
        <v>332</v>
      </c>
      <c r="F84" s="11">
        <f t="shared" si="9"/>
        <v>0.14664310954063603</v>
      </c>
      <c r="G84" s="10">
        <v>34</v>
      </c>
      <c r="H84" s="11">
        <f t="shared" si="10"/>
        <v>0.10240963855421686</v>
      </c>
    </row>
    <row r="85" spans="1:8" ht="24.9" customHeight="1" x14ac:dyDescent="0.3">
      <c r="A85" s="3" t="s">
        <v>97</v>
      </c>
      <c r="B85" s="16">
        <v>9363</v>
      </c>
      <c r="C85" s="10"/>
      <c r="D85" s="11"/>
      <c r="E85" s="10">
        <v>1203</v>
      </c>
      <c r="F85" s="11">
        <f t="shared" si="9"/>
        <v>0.12848446010893944</v>
      </c>
      <c r="G85" s="10">
        <v>132</v>
      </c>
      <c r="H85" s="11">
        <f t="shared" si="10"/>
        <v>0.10972568578553615</v>
      </c>
    </row>
    <row r="86" spans="1:8" ht="24.9" customHeight="1" x14ac:dyDescent="0.3">
      <c r="A86" s="3" t="s">
        <v>98</v>
      </c>
      <c r="B86" s="16">
        <v>2709</v>
      </c>
      <c r="C86" s="10">
        <v>158</v>
      </c>
      <c r="D86" s="11">
        <f>SUM(C86/B86)</f>
        <v>5.8324104835732742E-2</v>
      </c>
      <c r="E86" s="10">
        <v>461</v>
      </c>
      <c r="F86" s="11">
        <f t="shared" si="9"/>
        <v>0.1701734957548911</v>
      </c>
      <c r="G86" s="10">
        <v>19</v>
      </c>
      <c r="H86" s="11">
        <f t="shared" si="10"/>
        <v>4.1214750542299353E-2</v>
      </c>
    </row>
    <row r="87" spans="1:8" ht="24.9" customHeight="1" x14ac:dyDescent="0.3">
      <c r="A87" s="3" t="s">
        <v>23</v>
      </c>
      <c r="B87" s="16">
        <v>2006</v>
      </c>
      <c r="C87" s="10">
        <v>100</v>
      </c>
      <c r="D87" s="11">
        <f>SUM(C87/B87)</f>
        <v>4.9850448654037885E-2</v>
      </c>
      <c r="E87" s="10">
        <v>280</v>
      </c>
      <c r="F87" s="11">
        <f t="shared" si="9"/>
        <v>0.13958125623130607</v>
      </c>
      <c r="G87" s="10">
        <v>13</v>
      </c>
      <c r="H87" s="11">
        <f t="shared" si="10"/>
        <v>4.642857142857143E-2</v>
      </c>
    </row>
    <row r="88" spans="1:8" ht="24.9" customHeight="1" x14ac:dyDescent="0.3">
      <c r="A88" s="3" t="s">
        <v>99</v>
      </c>
      <c r="B88" s="16">
        <v>4132</v>
      </c>
      <c r="C88" s="10"/>
      <c r="D88" s="11"/>
      <c r="E88" s="10">
        <v>1026</v>
      </c>
      <c r="F88" s="11">
        <f t="shared" si="9"/>
        <v>0.24830590513068732</v>
      </c>
      <c r="G88" s="10">
        <v>237</v>
      </c>
      <c r="H88" s="11">
        <f t="shared" si="10"/>
        <v>0.23099415204678361</v>
      </c>
    </row>
    <row r="89" spans="1:8" ht="24.9" customHeight="1" x14ac:dyDescent="0.3">
      <c r="A89" s="3" t="s">
        <v>100</v>
      </c>
      <c r="B89" s="16">
        <v>433</v>
      </c>
      <c r="C89" s="10">
        <v>45</v>
      </c>
      <c r="D89" s="11">
        <f>SUM(C89/B89)</f>
        <v>0.10392609699769054</v>
      </c>
      <c r="E89" s="10">
        <v>59</v>
      </c>
      <c r="F89" s="11">
        <f t="shared" si="9"/>
        <v>0.13625866050808313</v>
      </c>
      <c r="G89" s="10">
        <v>2</v>
      </c>
      <c r="H89" s="11">
        <f t="shared" si="10"/>
        <v>3.3898305084745763E-2</v>
      </c>
    </row>
    <row r="90" spans="1:8" ht="24.9" customHeight="1" x14ac:dyDescent="0.3">
      <c r="A90" s="3" t="s">
        <v>101</v>
      </c>
      <c r="B90" s="16">
        <v>529</v>
      </c>
      <c r="C90" s="10"/>
      <c r="D90" s="11"/>
      <c r="E90" s="10">
        <v>129</v>
      </c>
      <c r="F90" s="11">
        <f t="shared" si="9"/>
        <v>0.24385633270321361</v>
      </c>
      <c r="G90" s="10">
        <v>7</v>
      </c>
      <c r="H90" s="11">
        <f t="shared" si="10"/>
        <v>5.4263565891472867E-2</v>
      </c>
    </row>
    <row r="91" spans="1:8" ht="24.9" customHeight="1" x14ac:dyDescent="0.3">
      <c r="A91" s="3" t="s">
        <v>24</v>
      </c>
      <c r="B91" s="16">
        <v>1652</v>
      </c>
      <c r="C91" s="10"/>
      <c r="D91" s="11"/>
      <c r="E91" s="10">
        <v>340</v>
      </c>
      <c r="F91" s="11">
        <f t="shared" si="9"/>
        <v>0.20581113801452786</v>
      </c>
      <c r="G91" s="10">
        <v>10</v>
      </c>
      <c r="H91" s="11">
        <f t="shared" si="10"/>
        <v>2.9411764705882353E-2</v>
      </c>
    </row>
    <row r="92" spans="1:8" ht="24.9" customHeight="1" x14ac:dyDescent="0.3">
      <c r="A92" s="3" t="s">
        <v>102</v>
      </c>
      <c r="B92" s="16">
        <v>2229</v>
      </c>
      <c r="C92" s="10">
        <v>141</v>
      </c>
      <c r="D92" s="11">
        <f t="shared" ref="D92:D99" si="11">SUM(C92/B92)</f>
        <v>6.3257065948855995E-2</v>
      </c>
      <c r="E92" s="10">
        <v>245</v>
      </c>
      <c r="F92" s="11">
        <f t="shared" si="9"/>
        <v>0.10991475998205473</v>
      </c>
      <c r="G92" s="10">
        <v>39</v>
      </c>
      <c r="H92" s="11">
        <f t="shared" si="10"/>
        <v>0.15918367346938775</v>
      </c>
    </row>
    <row r="93" spans="1:8" ht="24.9" customHeight="1" x14ac:dyDescent="0.3">
      <c r="A93" s="3" t="s">
        <v>216</v>
      </c>
      <c r="B93" s="16">
        <v>315</v>
      </c>
      <c r="C93" s="10">
        <v>36</v>
      </c>
      <c r="D93" s="11">
        <f t="shared" si="11"/>
        <v>0.11428571428571428</v>
      </c>
      <c r="E93" s="10">
        <v>65</v>
      </c>
      <c r="F93" s="11">
        <f t="shared" si="9"/>
        <v>0.20634920634920634</v>
      </c>
      <c r="G93" s="10">
        <v>1</v>
      </c>
      <c r="H93" s="11">
        <f t="shared" si="10"/>
        <v>1.5384615384615385E-2</v>
      </c>
    </row>
    <row r="94" spans="1:8" ht="24.9" customHeight="1" x14ac:dyDescent="0.3">
      <c r="A94" s="3" t="s">
        <v>103</v>
      </c>
      <c r="B94" s="16">
        <v>787</v>
      </c>
      <c r="C94" s="10">
        <v>84</v>
      </c>
      <c r="D94" s="11">
        <f t="shared" si="11"/>
        <v>0.10673443456162643</v>
      </c>
      <c r="E94" s="10"/>
      <c r="F94" s="11">
        <f t="shared" si="9"/>
        <v>0</v>
      </c>
      <c r="G94" s="10"/>
      <c r="H94" s="11"/>
    </row>
    <row r="95" spans="1:8" ht="24.9" customHeight="1" x14ac:dyDescent="0.3">
      <c r="A95" s="3" t="s">
        <v>104</v>
      </c>
      <c r="B95" s="16">
        <v>411</v>
      </c>
      <c r="C95" s="10">
        <v>40</v>
      </c>
      <c r="D95" s="11">
        <f t="shared" si="11"/>
        <v>9.7323600973236016E-2</v>
      </c>
      <c r="E95" s="10">
        <v>151</v>
      </c>
      <c r="F95" s="11">
        <f t="shared" si="9"/>
        <v>0.36739659367396593</v>
      </c>
      <c r="G95" s="10">
        <v>31</v>
      </c>
      <c r="H95" s="11">
        <f>SUM(G95/E95)</f>
        <v>0.20529801324503311</v>
      </c>
    </row>
    <row r="96" spans="1:8" ht="24.9" customHeight="1" x14ac:dyDescent="0.3">
      <c r="A96" s="3" t="s">
        <v>105</v>
      </c>
      <c r="B96" s="16">
        <v>723</v>
      </c>
      <c r="C96" s="10">
        <v>86</v>
      </c>
      <c r="D96" s="11">
        <f t="shared" si="11"/>
        <v>0.11894882434301521</v>
      </c>
      <c r="E96" s="10"/>
      <c r="F96" s="11"/>
      <c r="G96" s="10"/>
      <c r="H96" s="11"/>
    </row>
    <row r="97" spans="1:8" ht="24.9" customHeight="1" x14ac:dyDescent="0.3">
      <c r="A97" s="3" t="s">
        <v>106</v>
      </c>
      <c r="B97" s="16">
        <v>405</v>
      </c>
      <c r="C97" s="10">
        <v>37</v>
      </c>
      <c r="D97" s="11">
        <f t="shared" si="11"/>
        <v>9.1358024691358022E-2</v>
      </c>
      <c r="E97" s="10">
        <v>43</v>
      </c>
      <c r="F97" s="11">
        <f>SUM(E97/B97)</f>
        <v>0.10617283950617284</v>
      </c>
      <c r="G97" s="10"/>
      <c r="H97" s="11"/>
    </row>
    <row r="98" spans="1:8" ht="24.9" customHeight="1" x14ac:dyDescent="0.3">
      <c r="A98" s="3" t="s">
        <v>107</v>
      </c>
      <c r="B98" s="16">
        <v>4235</v>
      </c>
      <c r="C98" s="10">
        <v>300</v>
      </c>
      <c r="D98" s="11">
        <f t="shared" si="11"/>
        <v>7.0838252656434481E-2</v>
      </c>
      <c r="E98" s="10">
        <v>735</v>
      </c>
      <c r="F98" s="11">
        <f>SUM(E98/B98)</f>
        <v>0.17355371900826447</v>
      </c>
      <c r="G98" s="10">
        <v>148</v>
      </c>
      <c r="H98" s="11">
        <f>SUM(G98/E98)</f>
        <v>0.20136054421768707</v>
      </c>
    </row>
    <row r="99" spans="1:8" ht="24.9" customHeight="1" x14ac:dyDescent="0.3">
      <c r="A99" s="3" t="s">
        <v>108</v>
      </c>
      <c r="B99" s="16">
        <v>2190</v>
      </c>
      <c r="C99" s="10">
        <v>190</v>
      </c>
      <c r="D99" s="11">
        <f t="shared" si="11"/>
        <v>8.6757990867579904E-2</v>
      </c>
      <c r="E99" s="10">
        <v>294</v>
      </c>
      <c r="F99" s="11">
        <f>SUM(E99/B99)</f>
        <v>0.13424657534246576</v>
      </c>
      <c r="G99" s="10">
        <v>19</v>
      </c>
      <c r="H99" s="11">
        <f>SUM(G99/E99)</f>
        <v>6.4625850340136057E-2</v>
      </c>
    </row>
    <row r="100" spans="1:8" ht="24.9" customHeight="1" x14ac:dyDescent="0.3">
      <c r="A100" s="3" t="s">
        <v>109</v>
      </c>
      <c r="B100" s="16">
        <v>999</v>
      </c>
      <c r="C100" s="10"/>
      <c r="D100" s="11"/>
      <c r="E100" s="10">
        <v>314</v>
      </c>
      <c r="F100" s="11">
        <f>SUM(E100/B100)</f>
        <v>0.31431431431431434</v>
      </c>
      <c r="G100" s="10">
        <v>42</v>
      </c>
      <c r="H100" s="11">
        <f>SUM(G100/E100)</f>
        <v>0.13375796178343949</v>
      </c>
    </row>
    <row r="101" spans="1:8" ht="24.9" customHeight="1" x14ac:dyDescent="0.3">
      <c r="A101" s="3" t="s">
        <v>217</v>
      </c>
      <c r="B101" s="16">
        <v>377</v>
      </c>
      <c r="C101" s="10">
        <v>49</v>
      </c>
      <c r="D101" s="11">
        <f t="shared" ref="D101:D107" si="12">SUM(C101/B101)</f>
        <v>0.129973474801061</v>
      </c>
      <c r="E101" s="10"/>
      <c r="F101" s="11"/>
      <c r="G101" s="10"/>
      <c r="H101" s="11"/>
    </row>
    <row r="102" spans="1:8" ht="24.9" customHeight="1" x14ac:dyDescent="0.3">
      <c r="A102" s="3" t="s">
        <v>110</v>
      </c>
      <c r="B102" s="16">
        <v>124</v>
      </c>
      <c r="C102" s="10">
        <v>40</v>
      </c>
      <c r="D102" s="11">
        <f t="shared" si="12"/>
        <v>0.32258064516129031</v>
      </c>
      <c r="E102" s="10"/>
      <c r="F102" s="11"/>
      <c r="G102" s="10"/>
      <c r="H102" s="11"/>
    </row>
    <row r="103" spans="1:8" ht="24.9" customHeight="1" x14ac:dyDescent="0.3">
      <c r="A103" s="3" t="s">
        <v>111</v>
      </c>
      <c r="B103" s="16">
        <v>709</v>
      </c>
      <c r="C103" s="10">
        <v>50</v>
      </c>
      <c r="D103" s="11">
        <f t="shared" si="12"/>
        <v>7.0521861777150918E-2</v>
      </c>
      <c r="E103" s="10">
        <v>130</v>
      </c>
      <c r="F103" s="11">
        <f>SUM(E103/B103)</f>
        <v>0.18335684062059238</v>
      </c>
      <c r="G103" s="10">
        <v>10</v>
      </c>
      <c r="H103" s="11">
        <f>SUM(G103/E103)</f>
        <v>7.6923076923076927E-2</v>
      </c>
    </row>
    <row r="104" spans="1:8" ht="24.9" customHeight="1" x14ac:dyDescent="0.3">
      <c r="A104" s="3" t="s">
        <v>112</v>
      </c>
      <c r="B104" s="16">
        <v>76</v>
      </c>
      <c r="C104" s="10">
        <v>17</v>
      </c>
      <c r="D104" s="11">
        <f t="shared" si="12"/>
        <v>0.22368421052631579</v>
      </c>
      <c r="E104" s="10"/>
      <c r="F104" s="11"/>
      <c r="G104" s="10"/>
      <c r="H104" s="11"/>
    </row>
    <row r="105" spans="1:8" ht="24.9" customHeight="1" x14ac:dyDescent="0.3">
      <c r="A105" s="3" t="s">
        <v>113</v>
      </c>
      <c r="B105" s="16">
        <v>1101</v>
      </c>
      <c r="C105" s="10">
        <v>150</v>
      </c>
      <c r="D105" s="11">
        <f t="shared" si="12"/>
        <v>0.13623978201634879</v>
      </c>
      <c r="E105" s="10">
        <v>347</v>
      </c>
      <c r="F105" s="11">
        <f>SUM(E105/B105)</f>
        <v>0.31516802906448682</v>
      </c>
      <c r="G105" s="10">
        <v>16</v>
      </c>
      <c r="H105" s="11">
        <f>SUM(G105/E105)</f>
        <v>4.6109510086455328E-2</v>
      </c>
    </row>
    <row r="106" spans="1:8" ht="24.9" customHeight="1" x14ac:dyDescent="0.3">
      <c r="A106" s="3" t="s">
        <v>114</v>
      </c>
      <c r="B106" s="16">
        <v>1430</v>
      </c>
      <c r="C106" s="10">
        <v>122</v>
      </c>
      <c r="D106" s="11">
        <f t="shared" si="12"/>
        <v>8.5314685314685321E-2</v>
      </c>
      <c r="E106" s="10"/>
      <c r="F106" s="11"/>
      <c r="G106" s="10"/>
      <c r="H106" s="11"/>
    </row>
    <row r="107" spans="1:8" ht="24.9" customHeight="1" x14ac:dyDescent="0.3">
      <c r="A107" s="3" t="s">
        <v>115</v>
      </c>
      <c r="B107" s="16">
        <v>611</v>
      </c>
      <c r="C107" s="10">
        <v>107</v>
      </c>
      <c r="D107" s="11">
        <f t="shared" si="12"/>
        <v>0.17512274959083471</v>
      </c>
      <c r="E107" s="10">
        <v>63</v>
      </c>
      <c r="F107" s="11">
        <f t="shared" ref="F107:F126" si="13">SUM(E107/B107)</f>
        <v>0.10310965630114566</v>
      </c>
      <c r="G107" s="10"/>
      <c r="H107" s="11"/>
    </row>
    <row r="108" spans="1:8" ht="24.9" customHeight="1" x14ac:dyDescent="0.3">
      <c r="A108" s="3" t="s">
        <v>116</v>
      </c>
      <c r="B108" s="16">
        <v>1560</v>
      </c>
      <c r="C108" s="10"/>
      <c r="D108" s="11"/>
      <c r="E108" s="10">
        <v>290</v>
      </c>
      <c r="F108" s="11">
        <f t="shared" si="13"/>
        <v>0.1858974358974359</v>
      </c>
      <c r="G108" s="10">
        <v>27</v>
      </c>
      <c r="H108" s="11">
        <f t="shared" ref="H108:H121" si="14">SUM(G108/E108)</f>
        <v>9.3103448275862075E-2</v>
      </c>
    </row>
    <row r="109" spans="1:8" ht="24.9" customHeight="1" x14ac:dyDescent="0.3">
      <c r="A109" s="3" t="s">
        <v>218</v>
      </c>
      <c r="B109" s="16">
        <v>1135</v>
      </c>
      <c r="C109" s="10">
        <v>35</v>
      </c>
      <c r="D109" s="11">
        <f>SUM(C109/B109)</f>
        <v>3.0837004405286344E-2</v>
      </c>
      <c r="E109" s="10">
        <v>108</v>
      </c>
      <c r="F109" s="11">
        <f t="shared" si="13"/>
        <v>9.5154185022026438E-2</v>
      </c>
      <c r="G109" s="10">
        <v>4</v>
      </c>
      <c r="H109" s="11">
        <f t="shared" si="14"/>
        <v>3.7037037037037035E-2</v>
      </c>
    </row>
    <row r="110" spans="1:8" ht="24.9" customHeight="1" x14ac:dyDescent="0.3">
      <c r="A110" s="3" t="s">
        <v>117</v>
      </c>
      <c r="B110" s="16">
        <v>3434</v>
      </c>
      <c r="C110" s="10">
        <v>109</v>
      </c>
      <c r="D110" s="11">
        <f>SUM(C110/B110)</f>
        <v>3.1741409435061152E-2</v>
      </c>
      <c r="E110" s="10">
        <v>291</v>
      </c>
      <c r="F110" s="11">
        <f t="shared" si="13"/>
        <v>8.4740827023878862E-2</v>
      </c>
      <c r="G110" s="10">
        <v>14</v>
      </c>
      <c r="H110" s="11">
        <f t="shared" si="14"/>
        <v>4.8109965635738834E-2</v>
      </c>
    </row>
    <row r="111" spans="1:8" ht="24.9" customHeight="1" x14ac:dyDescent="0.3">
      <c r="A111" s="3" t="s">
        <v>118</v>
      </c>
      <c r="B111" s="16">
        <v>161</v>
      </c>
      <c r="C111" s="10"/>
      <c r="D111" s="11"/>
      <c r="E111" s="10">
        <v>78</v>
      </c>
      <c r="F111" s="11">
        <f t="shared" si="13"/>
        <v>0.48447204968944102</v>
      </c>
      <c r="G111" s="10">
        <v>10</v>
      </c>
      <c r="H111" s="11">
        <f t="shared" si="14"/>
        <v>0.12820512820512819</v>
      </c>
    </row>
    <row r="112" spans="1:8" ht="24.9" customHeight="1" x14ac:dyDescent="0.3">
      <c r="A112" s="3" t="s">
        <v>119</v>
      </c>
      <c r="B112" s="16">
        <v>3932</v>
      </c>
      <c r="C112" s="10">
        <v>124</v>
      </c>
      <c r="D112" s="11">
        <f>SUM(C112/B112)</f>
        <v>3.1536113936927769E-2</v>
      </c>
      <c r="E112" s="10">
        <v>750</v>
      </c>
      <c r="F112" s="11">
        <f t="shared" si="13"/>
        <v>0.19074262461851474</v>
      </c>
      <c r="G112" s="10">
        <v>141</v>
      </c>
      <c r="H112" s="11">
        <f t="shared" si="14"/>
        <v>0.188</v>
      </c>
    </row>
    <row r="113" spans="1:8" ht="24.9" customHeight="1" x14ac:dyDescent="0.3">
      <c r="A113" s="3" t="s">
        <v>120</v>
      </c>
      <c r="B113" s="16">
        <v>738</v>
      </c>
      <c r="C113" s="10"/>
      <c r="D113" s="11"/>
      <c r="E113" s="10">
        <v>174</v>
      </c>
      <c r="F113" s="11">
        <f t="shared" si="13"/>
        <v>0.23577235772357724</v>
      </c>
      <c r="G113" s="10">
        <v>16</v>
      </c>
      <c r="H113" s="11">
        <f t="shared" si="14"/>
        <v>9.1954022988505746E-2</v>
      </c>
    </row>
    <row r="114" spans="1:8" ht="24.9" customHeight="1" x14ac:dyDescent="0.3">
      <c r="A114" s="3" t="s">
        <v>121</v>
      </c>
      <c r="B114" s="16">
        <v>1141</v>
      </c>
      <c r="C114" s="10">
        <v>121</v>
      </c>
      <c r="D114" s="11">
        <f>SUM(C114/B114)</f>
        <v>0.10604732690622261</v>
      </c>
      <c r="E114" s="10">
        <v>194</v>
      </c>
      <c r="F114" s="11">
        <f t="shared" si="13"/>
        <v>0.17002629272567923</v>
      </c>
      <c r="G114" s="10">
        <v>10</v>
      </c>
      <c r="H114" s="11">
        <f t="shared" si="14"/>
        <v>5.1546391752577317E-2</v>
      </c>
    </row>
    <row r="115" spans="1:8" ht="24.9" customHeight="1" x14ac:dyDescent="0.3">
      <c r="A115" s="3" t="s">
        <v>122</v>
      </c>
      <c r="B115" s="16">
        <v>873</v>
      </c>
      <c r="C115" s="10">
        <v>36</v>
      </c>
      <c r="D115" s="11">
        <f>SUM(C115/B115)</f>
        <v>4.1237113402061855E-2</v>
      </c>
      <c r="E115" s="10">
        <v>121</v>
      </c>
      <c r="F115" s="11">
        <f t="shared" si="13"/>
        <v>0.13860252004581902</v>
      </c>
      <c r="G115" s="10">
        <v>3</v>
      </c>
      <c r="H115" s="11">
        <f t="shared" si="14"/>
        <v>2.4793388429752067E-2</v>
      </c>
    </row>
    <row r="116" spans="1:8" ht="24.9" customHeight="1" x14ac:dyDescent="0.3">
      <c r="A116" s="3" t="s">
        <v>123</v>
      </c>
      <c r="B116" s="16">
        <v>5535</v>
      </c>
      <c r="C116" s="10">
        <v>273</v>
      </c>
      <c r="D116" s="11">
        <f>SUM(C116/B116)</f>
        <v>4.9322493224932248E-2</v>
      </c>
      <c r="E116" s="10">
        <v>1066</v>
      </c>
      <c r="F116" s="11">
        <f t="shared" si="13"/>
        <v>0.19259259259259259</v>
      </c>
      <c r="G116" s="10">
        <v>72</v>
      </c>
      <c r="H116" s="11">
        <f t="shared" si="14"/>
        <v>6.7542213883677302E-2</v>
      </c>
    </row>
    <row r="117" spans="1:8" ht="24.9" customHeight="1" x14ac:dyDescent="0.3">
      <c r="A117" s="3" t="s">
        <v>25</v>
      </c>
      <c r="B117" s="16">
        <v>1480</v>
      </c>
      <c r="C117" s="10">
        <v>176</v>
      </c>
      <c r="D117" s="11">
        <f>SUM(C117/B117)</f>
        <v>0.11891891891891893</v>
      </c>
      <c r="E117" s="10">
        <v>354</v>
      </c>
      <c r="F117" s="11">
        <f t="shared" si="13"/>
        <v>0.23918918918918919</v>
      </c>
      <c r="G117" s="10">
        <v>52</v>
      </c>
      <c r="H117" s="11">
        <f t="shared" si="14"/>
        <v>0.14689265536723164</v>
      </c>
    </row>
    <row r="118" spans="1:8" ht="24.9" customHeight="1" x14ac:dyDescent="0.3">
      <c r="A118" s="3" t="s">
        <v>124</v>
      </c>
      <c r="B118" s="16">
        <v>8720</v>
      </c>
      <c r="C118" s="10"/>
      <c r="D118" s="11"/>
      <c r="E118" s="10">
        <v>1567</v>
      </c>
      <c r="F118" s="11">
        <f t="shared" si="13"/>
        <v>0.17970183486238533</v>
      </c>
      <c r="G118" s="10">
        <v>271</v>
      </c>
      <c r="H118" s="11">
        <f t="shared" si="14"/>
        <v>0.17294192724952137</v>
      </c>
    </row>
    <row r="119" spans="1:8" ht="24.9" customHeight="1" x14ac:dyDescent="0.3">
      <c r="A119" s="3" t="s">
        <v>125</v>
      </c>
      <c r="B119" s="16">
        <v>1645</v>
      </c>
      <c r="C119" s="10"/>
      <c r="D119" s="11"/>
      <c r="E119" s="10">
        <v>383</v>
      </c>
      <c r="F119" s="11">
        <f t="shared" si="13"/>
        <v>0.23282674772036474</v>
      </c>
      <c r="G119" s="10">
        <v>25</v>
      </c>
      <c r="H119" s="11">
        <f t="shared" si="14"/>
        <v>6.5274151436031339E-2</v>
      </c>
    </row>
    <row r="120" spans="1:8" ht="24.9" customHeight="1" x14ac:dyDescent="0.3">
      <c r="A120" s="3" t="s">
        <v>126</v>
      </c>
      <c r="B120" s="16">
        <v>7701</v>
      </c>
      <c r="C120" s="10"/>
      <c r="D120" s="11"/>
      <c r="E120" s="10">
        <v>1844</v>
      </c>
      <c r="F120" s="11">
        <f t="shared" si="13"/>
        <v>0.23944942215296713</v>
      </c>
      <c r="G120" s="10">
        <v>272</v>
      </c>
      <c r="H120" s="11">
        <f t="shared" si="14"/>
        <v>0.1475054229934924</v>
      </c>
    </row>
    <row r="121" spans="1:8" ht="24.9" customHeight="1" x14ac:dyDescent="0.3">
      <c r="A121" s="3" t="s">
        <v>26</v>
      </c>
      <c r="B121" s="16">
        <v>1462</v>
      </c>
      <c r="C121" s="10"/>
      <c r="D121" s="11"/>
      <c r="E121" s="10">
        <v>298</v>
      </c>
      <c r="F121" s="11">
        <f t="shared" si="13"/>
        <v>0.20383036935704515</v>
      </c>
      <c r="G121" s="10">
        <v>31</v>
      </c>
      <c r="H121" s="11">
        <f t="shared" si="14"/>
        <v>0.1040268456375839</v>
      </c>
    </row>
    <row r="122" spans="1:8" ht="24.9" customHeight="1" x14ac:dyDescent="0.3">
      <c r="A122" s="3" t="s">
        <v>219</v>
      </c>
      <c r="B122" s="16">
        <v>578</v>
      </c>
      <c r="C122" s="10"/>
      <c r="D122" s="11"/>
      <c r="E122" s="10">
        <v>41</v>
      </c>
      <c r="F122" s="11">
        <f t="shared" si="13"/>
        <v>7.0934256055363326E-2</v>
      </c>
      <c r="G122" s="10"/>
      <c r="H122" s="11"/>
    </row>
    <row r="123" spans="1:8" ht="24.9" customHeight="1" x14ac:dyDescent="0.3">
      <c r="A123" s="3" t="s">
        <v>127</v>
      </c>
      <c r="B123" s="16">
        <v>3817</v>
      </c>
      <c r="C123" s="10">
        <v>158</v>
      </c>
      <c r="D123" s="11">
        <f>SUM(C123/B123)</f>
        <v>4.1393764736704218E-2</v>
      </c>
      <c r="E123" s="10">
        <v>616</v>
      </c>
      <c r="F123" s="11">
        <f t="shared" si="13"/>
        <v>0.16138328530259366</v>
      </c>
      <c r="G123" s="10">
        <v>74</v>
      </c>
      <c r="H123" s="11">
        <f>SUM(G123/E123)</f>
        <v>0.12012987012987013</v>
      </c>
    </row>
    <row r="124" spans="1:8" ht="24.9" customHeight="1" x14ac:dyDescent="0.3">
      <c r="A124" s="3" t="s">
        <v>128</v>
      </c>
      <c r="B124" s="16">
        <v>1058</v>
      </c>
      <c r="C124" s="10"/>
      <c r="D124" s="11"/>
      <c r="E124" s="10">
        <v>292</v>
      </c>
      <c r="F124" s="11">
        <f t="shared" si="13"/>
        <v>0.27599243856332706</v>
      </c>
      <c r="G124" s="10">
        <v>57</v>
      </c>
      <c r="H124" s="11">
        <f>SUM(G124/E124)</f>
        <v>0.1952054794520548</v>
      </c>
    </row>
    <row r="125" spans="1:8" ht="24.9" customHeight="1" x14ac:dyDescent="0.3">
      <c r="A125" s="3" t="s">
        <v>129</v>
      </c>
      <c r="B125" s="16">
        <v>147</v>
      </c>
      <c r="C125" s="10">
        <v>12</v>
      </c>
      <c r="D125" s="11">
        <f>SUM(C125/B125)</f>
        <v>8.1632653061224483E-2</v>
      </c>
      <c r="E125" s="10">
        <v>25</v>
      </c>
      <c r="F125" s="11">
        <f t="shared" si="13"/>
        <v>0.17006802721088435</v>
      </c>
      <c r="G125" s="10"/>
      <c r="H125" s="11"/>
    </row>
    <row r="126" spans="1:8" ht="24.9" customHeight="1" x14ac:dyDescent="0.3">
      <c r="A126" s="3" t="s">
        <v>130</v>
      </c>
      <c r="B126" s="16">
        <v>1330</v>
      </c>
      <c r="C126" s="10"/>
      <c r="D126" s="11"/>
      <c r="E126" s="10">
        <v>480</v>
      </c>
      <c r="F126" s="11">
        <f t="shared" si="13"/>
        <v>0.36090225563909772</v>
      </c>
      <c r="G126" s="10">
        <v>40</v>
      </c>
      <c r="H126" s="11">
        <f>SUM(G126/E126)</f>
        <v>8.3333333333333329E-2</v>
      </c>
    </row>
    <row r="127" spans="1:8" ht="24.9" customHeight="1" x14ac:dyDescent="0.3">
      <c r="A127" s="3" t="s">
        <v>220</v>
      </c>
      <c r="B127" s="16">
        <v>451</v>
      </c>
      <c r="C127" s="10">
        <v>58</v>
      </c>
      <c r="D127" s="11">
        <f>SUM(C127/B127)</f>
        <v>0.12860310421286031</v>
      </c>
      <c r="E127" s="10"/>
      <c r="F127" s="11"/>
      <c r="G127" s="10"/>
      <c r="H127" s="11"/>
    </row>
    <row r="128" spans="1:8" ht="24.9" customHeight="1" x14ac:dyDescent="0.3">
      <c r="A128" s="3" t="s">
        <v>131</v>
      </c>
      <c r="B128" s="16">
        <v>1568</v>
      </c>
      <c r="C128" s="10"/>
      <c r="D128" s="11"/>
      <c r="E128" s="10">
        <v>114</v>
      </c>
      <c r="F128" s="11">
        <f>SUM(E128/B128)</f>
        <v>7.2704081632653059E-2</v>
      </c>
      <c r="G128" s="10">
        <v>6</v>
      </c>
      <c r="H128" s="11">
        <f>SUM(G128/E128)</f>
        <v>5.2631578947368418E-2</v>
      </c>
    </row>
    <row r="129" spans="1:8" ht="24.9" customHeight="1" x14ac:dyDescent="0.3">
      <c r="A129" s="3" t="s">
        <v>132</v>
      </c>
      <c r="B129" s="16">
        <v>1351</v>
      </c>
      <c r="C129" s="10"/>
      <c r="D129" s="11"/>
      <c r="E129" s="10">
        <v>154</v>
      </c>
      <c r="F129" s="11">
        <f>SUM(E129/B129)</f>
        <v>0.11398963730569948</v>
      </c>
      <c r="G129" s="10">
        <v>8</v>
      </c>
      <c r="H129" s="11">
        <f>SUM(G129/E129)</f>
        <v>5.1948051948051951E-2</v>
      </c>
    </row>
    <row r="130" spans="1:8" ht="24.9" customHeight="1" x14ac:dyDescent="0.3">
      <c r="A130" s="3" t="s">
        <v>221</v>
      </c>
      <c r="B130" s="16">
        <v>1293</v>
      </c>
      <c r="C130" s="10">
        <v>60</v>
      </c>
      <c r="D130" s="11">
        <f>SUM(C130/B130)</f>
        <v>4.6403712296983757E-2</v>
      </c>
      <c r="E130" s="10"/>
      <c r="F130" s="11"/>
      <c r="G130" s="10"/>
      <c r="H130" s="11"/>
    </row>
    <row r="131" spans="1:8" ht="24.9" customHeight="1" x14ac:dyDescent="0.3">
      <c r="A131" s="3" t="s">
        <v>133</v>
      </c>
      <c r="B131" s="16">
        <v>3604</v>
      </c>
      <c r="C131" s="10"/>
      <c r="D131" s="11"/>
      <c r="E131" s="10">
        <v>583</v>
      </c>
      <c r="F131" s="11">
        <f t="shared" ref="F131:F142" si="15">SUM(E131/B131)</f>
        <v>0.16176470588235295</v>
      </c>
      <c r="G131" s="10">
        <v>77</v>
      </c>
      <c r="H131" s="11">
        <f>SUM(G131/E131)</f>
        <v>0.13207547169811321</v>
      </c>
    </row>
    <row r="132" spans="1:8" ht="24.9" customHeight="1" x14ac:dyDescent="0.3">
      <c r="A132" s="3" t="s">
        <v>134</v>
      </c>
      <c r="B132" s="16">
        <v>792</v>
      </c>
      <c r="C132" s="10"/>
      <c r="D132" s="11"/>
      <c r="E132" s="10">
        <v>248</v>
      </c>
      <c r="F132" s="11">
        <f t="shared" si="15"/>
        <v>0.31313131313131315</v>
      </c>
      <c r="G132" s="10">
        <v>51</v>
      </c>
      <c r="H132" s="11">
        <f>SUM(G132/E132)</f>
        <v>0.20564516129032259</v>
      </c>
    </row>
    <row r="133" spans="1:8" ht="24.9" customHeight="1" x14ac:dyDescent="0.3">
      <c r="A133" s="3" t="s">
        <v>27</v>
      </c>
      <c r="B133" s="16">
        <v>3200</v>
      </c>
      <c r="C133" s="10">
        <v>150</v>
      </c>
      <c r="D133" s="11">
        <f>SUM(C133/B133)</f>
        <v>4.6875E-2</v>
      </c>
      <c r="E133" s="10">
        <v>863</v>
      </c>
      <c r="F133" s="11">
        <f t="shared" si="15"/>
        <v>0.26968750000000002</v>
      </c>
      <c r="G133" s="10">
        <v>175</v>
      </c>
      <c r="H133" s="11">
        <f>SUM(G133/E133)</f>
        <v>0.20278099652375434</v>
      </c>
    </row>
    <row r="134" spans="1:8" ht="24.9" customHeight="1" x14ac:dyDescent="0.3">
      <c r="A134" s="3" t="s">
        <v>135</v>
      </c>
      <c r="B134" s="16">
        <v>111</v>
      </c>
      <c r="C134" s="10">
        <v>11</v>
      </c>
      <c r="D134" s="11">
        <f>SUM(C134/B134)</f>
        <v>9.90990990990991E-2</v>
      </c>
      <c r="E134" s="10">
        <v>13</v>
      </c>
      <c r="F134" s="11">
        <f t="shared" si="15"/>
        <v>0.11711711711711711</v>
      </c>
      <c r="G134" s="10"/>
      <c r="H134" s="11"/>
    </row>
    <row r="135" spans="1:8" ht="24.9" customHeight="1" x14ac:dyDescent="0.3">
      <c r="A135" s="3" t="s">
        <v>136</v>
      </c>
      <c r="B135" s="16">
        <v>3225</v>
      </c>
      <c r="C135" s="10"/>
      <c r="D135" s="11"/>
      <c r="E135" s="10">
        <v>1018</v>
      </c>
      <c r="F135" s="11">
        <f t="shared" si="15"/>
        <v>0.31565891472868218</v>
      </c>
      <c r="G135" s="10">
        <v>63</v>
      </c>
      <c r="H135" s="11">
        <f>SUM(G135/E135)</f>
        <v>6.1886051080550099E-2</v>
      </c>
    </row>
    <row r="136" spans="1:8" ht="24.9" customHeight="1" x14ac:dyDescent="0.3">
      <c r="A136" s="3" t="s">
        <v>137</v>
      </c>
      <c r="B136" s="16">
        <v>778</v>
      </c>
      <c r="C136" s="10">
        <v>70</v>
      </c>
      <c r="D136" s="11">
        <f>SUM(C136/B136)</f>
        <v>8.9974293059125965E-2</v>
      </c>
      <c r="E136" s="10">
        <v>5</v>
      </c>
      <c r="F136" s="11">
        <f t="shared" si="15"/>
        <v>6.4267352185089976E-3</v>
      </c>
      <c r="G136" s="10"/>
      <c r="H136" s="11"/>
    </row>
    <row r="137" spans="1:8" ht="24.9" customHeight="1" x14ac:dyDescent="0.3">
      <c r="A137" s="3" t="s">
        <v>138</v>
      </c>
      <c r="B137" s="16">
        <v>891</v>
      </c>
      <c r="C137" s="10">
        <v>110</v>
      </c>
      <c r="D137" s="11">
        <f>SUM(C137/B137)</f>
        <v>0.12345679012345678</v>
      </c>
      <c r="E137" s="10">
        <v>293</v>
      </c>
      <c r="F137" s="11">
        <f t="shared" si="15"/>
        <v>0.32884399551066218</v>
      </c>
      <c r="G137" s="10">
        <v>33</v>
      </c>
      <c r="H137" s="11">
        <f>SUM(G137/E137)</f>
        <v>0.11262798634812286</v>
      </c>
    </row>
    <row r="138" spans="1:8" ht="24.9" customHeight="1" x14ac:dyDescent="0.3">
      <c r="A138" s="3" t="s">
        <v>139</v>
      </c>
      <c r="B138" s="16">
        <v>1128</v>
      </c>
      <c r="C138" s="10"/>
      <c r="D138" s="11"/>
      <c r="E138" s="10">
        <v>285</v>
      </c>
      <c r="F138" s="11">
        <f t="shared" si="15"/>
        <v>0.25265957446808512</v>
      </c>
      <c r="G138" s="10">
        <v>28</v>
      </c>
      <c r="H138" s="11">
        <f>SUM(G138/E138)</f>
        <v>9.8245614035087719E-2</v>
      </c>
    </row>
    <row r="139" spans="1:8" ht="24.9" customHeight="1" x14ac:dyDescent="0.3">
      <c r="A139" s="3" t="s">
        <v>140</v>
      </c>
      <c r="B139" s="16">
        <v>661</v>
      </c>
      <c r="C139" s="10">
        <v>75</v>
      </c>
      <c r="D139" s="11">
        <f t="shared" ref="D139:D145" si="16">SUM(C139/B139)</f>
        <v>0.11346444780635401</v>
      </c>
      <c r="E139" s="10"/>
      <c r="F139" s="11"/>
      <c r="G139" s="10"/>
      <c r="H139" s="11"/>
    </row>
    <row r="140" spans="1:8" ht="24.9" customHeight="1" x14ac:dyDescent="0.3">
      <c r="A140" s="3" t="s">
        <v>141</v>
      </c>
      <c r="B140" s="16">
        <v>347</v>
      </c>
      <c r="C140" s="10">
        <v>50</v>
      </c>
      <c r="D140" s="11">
        <f t="shared" si="16"/>
        <v>0.14409221902017291</v>
      </c>
      <c r="E140" s="10"/>
      <c r="F140" s="11"/>
      <c r="G140" s="10"/>
      <c r="H140" s="11"/>
    </row>
    <row r="141" spans="1:8" ht="24.9" customHeight="1" x14ac:dyDescent="0.3">
      <c r="A141" s="3" t="s">
        <v>142</v>
      </c>
      <c r="B141" s="16">
        <v>72</v>
      </c>
      <c r="C141" s="10">
        <v>69</v>
      </c>
      <c r="D141" s="11">
        <f t="shared" si="16"/>
        <v>0.95833333333333337</v>
      </c>
      <c r="E141" s="10"/>
      <c r="F141" s="11"/>
      <c r="G141" s="10"/>
      <c r="H141" s="11"/>
    </row>
    <row r="142" spans="1:8" s="13" customFormat="1" ht="24.9" customHeight="1" x14ac:dyDescent="0.3">
      <c r="A142" s="3" t="s">
        <v>240</v>
      </c>
      <c r="B142" s="25">
        <v>2172</v>
      </c>
      <c r="C142" s="26">
        <v>90</v>
      </c>
      <c r="D142" s="27">
        <f t="shared" si="16"/>
        <v>4.1436464088397788E-2</v>
      </c>
      <c r="E142" s="26">
        <v>419</v>
      </c>
      <c r="F142" s="27">
        <f t="shared" si="15"/>
        <v>0.19290976058931861</v>
      </c>
      <c r="G142" s="26">
        <v>26</v>
      </c>
      <c r="H142" s="27">
        <f t="shared" ref="H142" si="17">SUM(G142/E142)</f>
        <v>6.205250596658711E-2</v>
      </c>
    </row>
    <row r="143" spans="1:8" ht="24.9" customHeight="1" x14ac:dyDescent="0.3">
      <c r="A143" s="3" t="s">
        <v>143</v>
      </c>
      <c r="B143" s="16">
        <v>933</v>
      </c>
      <c r="C143" s="10">
        <v>100</v>
      </c>
      <c r="D143" s="11">
        <f t="shared" si="16"/>
        <v>0.10718113612004287</v>
      </c>
      <c r="E143" s="10">
        <v>190</v>
      </c>
      <c r="F143" s="11">
        <f>SUM(E143/B143)</f>
        <v>0.20364415862808147</v>
      </c>
      <c r="G143" s="10">
        <v>23</v>
      </c>
      <c r="H143" s="11">
        <f>SUM(G143/E143)</f>
        <v>0.12105263157894737</v>
      </c>
    </row>
    <row r="144" spans="1:8" ht="24.9" customHeight="1" x14ac:dyDescent="0.3">
      <c r="A144" s="3" t="s">
        <v>144</v>
      </c>
      <c r="B144" s="16">
        <v>503</v>
      </c>
      <c r="C144" s="10">
        <v>46</v>
      </c>
      <c r="D144" s="11">
        <f t="shared" si="16"/>
        <v>9.1451292246520877E-2</v>
      </c>
      <c r="E144" s="10">
        <v>109</v>
      </c>
      <c r="F144" s="11">
        <f>SUM(E144/B144)</f>
        <v>0.21669980119284293</v>
      </c>
      <c r="G144" s="10">
        <v>17</v>
      </c>
      <c r="H144" s="11">
        <f>SUM(G144/E144)</f>
        <v>0.15596330275229359</v>
      </c>
    </row>
    <row r="145" spans="1:8" ht="24.9" customHeight="1" x14ac:dyDescent="0.3">
      <c r="A145" s="3" t="s">
        <v>145</v>
      </c>
      <c r="B145" s="16">
        <v>767</v>
      </c>
      <c r="C145" s="10">
        <v>101</v>
      </c>
      <c r="D145" s="11">
        <f t="shared" si="16"/>
        <v>0.13168187744458931</v>
      </c>
      <c r="E145" s="10"/>
      <c r="F145" s="11"/>
      <c r="G145" s="10"/>
      <c r="H145" s="11"/>
    </row>
    <row r="146" spans="1:8" ht="24.9" customHeight="1" x14ac:dyDescent="0.3">
      <c r="A146" s="3" t="s">
        <v>146</v>
      </c>
      <c r="B146" s="16">
        <v>2289</v>
      </c>
      <c r="C146" s="10"/>
      <c r="D146" s="11"/>
      <c r="E146" s="10">
        <v>443</v>
      </c>
      <c r="F146" s="11">
        <f>SUM(E146/B146)</f>
        <v>0.19353429445172565</v>
      </c>
      <c r="G146" s="10">
        <v>25</v>
      </c>
      <c r="H146" s="11">
        <f>SUM(G146/E146)</f>
        <v>5.6433408577878104E-2</v>
      </c>
    </row>
    <row r="147" spans="1:8" ht="24.9" customHeight="1" x14ac:dyDescent="0.3">
      <c r="A147" s="3" t="s">
        <v>147</v>
      </c>
      <c r="B147" s="16">
        <v>2600</v>
      </c>
      <c r="C147" s="10">
        <v>145</v>
      </c>
      <c r="D147" s="11">
        <f>SUM(C147/B147)</f>
        <v>5.5769230769230772E-2</v>
      </c>
      <c r="E147" s="10"/>
      <c r="F147" s="11"/>
      <c r="G147" s="10"/>
      <c r="H147" s="11"/>
    </row>
    <row r="148" spans="1:8" ht="24.9" customHeight="1" x14ac:dyDescent="0.3">
      <c r="A148" s="3" t="s">
        <v>148</v>
      </c>
      <c r="B148" s="16">
        <v>1180</v>
      </c>
      <c r="C148" s="10">
        <v>80</v>
      </c>
      <c r="D148" s="11">
        <f>SUM(C148/B148)</f>
        <v>6.7796610169491525E-2</v>
      </c>
      <c r="E148" s="10">
        <v>213</v>
      </c>
      <c r="F148" s="11">
        <f>SUM(E148/B148)</f>
        <v>0.1805084745762712</v>
      </c>
      <c r="G148" s="10">
        <v>14</v>
      </c>
      <c r="H148" s="11">
        <f>SUM(G148/E148)</f>
        <v>6.5727699530516437E-2</v>
      </c>
    </row>
    <row r="149" spans="1:8" ht="24.9" customHeight="1" x14ac:dyDescent="0.3">
      <c r="A149" s="3" t="s">
        <v>149</v>
      </c>
      <c r="B149" s="16">
        <v>1834</v>
      </c>
      <c r="C149" s="10"/>
      <c r="D149" s="11"/>
      <c r="E149" s="10">
        <v>335</v>
      </c>
      <c r="F149" s="11">
        <f>SUM(E149/B149)</f>
        <v>0.1826608505997819</v>
      </c>
      <c r="G149" s="10">
        <v>19</v>
      </c>
      <c r="H149" s="11">
        <f>SUM(G149/E149)</f>
        <v>5.6716417910447764E-2</v>
      </c>
    </row>
    <row r="150" spans="1:8" ht="24.9" customHeight="1" x14ac:dyDescent="0.3">
      <c r="A150" s="3" t="s">
        <v>150</v>
      </c>
      <c r="B150" s="16">
        <v>3314</v>
      </c>
      <c r="C150" s="10"/>
      <c r="D150" s="11"/>
      <c r="E150" s="10">
        <v>656</v>
      </c>
      <c r="F150" s="11">
        <f>SUM(E150/B150)</f>
        <v>0.1979480989740495</v>
      </c>
      <c r="G150" s="10">
        <v>83</v>
      </c>
      <c r="H150" s="11">
        <f>SUM(G150/E150)</f>
        <v>0.12652439024390244</v>
      </c>
    </row>
    <row r="151" spans="1:8" ht="24.9" customHeight="1" x14ac:dyDescent="0.3">
      <c r="A151" s="3" t="s">
        <v>151</v>
      </c>
      <c r="B151" s="16">
        <v>520</v>
      </c>
      <c r="C151" s="10">
        <v>75</v>
      </c>
      <c r="D151" s="11">
        <f>SUM(C151/B151)</f>
        <v>0.14423076923076922</v>
      </c>
      <c r="E151" s="10"/>
      <c r="F151" s="11"/>
      <c r="G151" s="10"/>
      <c r="H151" s="11"/>
    </row>
    <row r="152" spans="1:8" ht="24.9" customHeight="1" x14ac:dyDescent="0.3">
      <c r="A152" s="3" t="s">
        <v>28</v>
      </c>
      <c r="B152" s="16">
        <v>585</v>
      </c>
      <c r="C152" s="10">
        <v>58</v>
      </c>
      <c r="D152" s="11">
        <f>SUM(C152/B152)</f>
        <v>9.914529914529914E-2</v>
      </c>
      <c r="E152" s="10">
        <v>150</v>
      </c>
      <c r="F152" s="11">
        <f t="shared" ref="F152:F162" si="18">SUM(E152/B152)</f>
        <v>0.25641025641025639</v>
      </c>
      <c r="G152" s="10">
        <v>7</v>
      </c>
      <c r="H152" s="11">
        <f t="shared" ref="H152:H162" si="19">SUM(G152/E152)</f>
        <v>4.6666666666666669E-2</v>
      </c>
    </row>
    <row r="153" spans="1:8" ht="24.9" customHeight="1" x14ac:dyDescent="0.3">
      <c r="A153" s="3" t="s">
        <v>152</v>
      </c>
      <c r="B153" s="16">
        <v>1609</v>
      </c>
      <c r="C153" s="10"/>
      <c r="D153" s="11"/>
      <c r="E153" s="10">
        <v>587</v>
      </c>
      <c r="F153" s="11">
        <f t="shared" si="18"/>
        <v>0.36482287134866376</v>
      </c>
      <c r="G153" s="10">
        <v>220</v>
      </c>
      <c r="H153" s="11">
        <f t="shared" si="19"/>
        <v>0.37478705281090291</v>
      </c>
    </row>
    <row r="154" spans="1:8" ht="24.9" customHeight="1" x14ac:dyDescent="0.3">
      <c r="A154" s="3" t="s">
        <v>153</v>
      </c>
      <c r="B154" s="16">
        <v>3322</v>
      </c>
      <c r="C154" s="10">
        <v>156</v>
      </c>
      <c r="D154" s="11">
        <f>SUM(C154/B154)</f>
        <v>4.6959662853702587E-2</v>
      </c>
      <c r="E154" s="10">
        <v>910</v>
      </c>
      <c r="F154" s="11">
        <f t="shared" si="18"/>
        <v>0.27393136664659845</v>
      </c>
      <c r="G154" s="10">
        <v>220</v>
      </c>
      <c r="H154" s="11">
        <f t="shared" si="19"/>
        <v>0.24175824175824176</v>
      </c>
    </row>
    <row r="155" spans="1:8" ht="24.9" customHeight="1" x14ac:dyDescent="0.3">
      <c r="A155" s="3" t="s">
        <v>154</v>
      </c>
      <c r="B155" s="16">
        <v>432</v>
      </c>
      <c r="C155" s="10"/>
      <c r="D155" s="11"/>
      <c r="E155" s="10">
        <v>145</v>
      </c>
      <c r="F155" s="11">
        <f t="shared" si="18"/>
        <v>0.33564814814814814</v>
      </c>
      <c r="G155" s="10">
        <v>1</v>
      </c>
      <c r="H155" s="11">
        <f t="shared" si="19"/>
        <v>6.8965517241379309E-3</v>
      </c>
    </row>
    <row r="156" spans="1:8" ht="24.9" customHeight="1" x14ac:dyDescent="0.3">
      <c r="A156" s="3" t="s">
        <v>29</v>
      </c>
      <c r="B156" s="16">
        <v>3709</v>
      </c>
      <c r="C156" s="10"/>
      <c r="D156" s="11"/>
      <c r="E156" s="10">
        <v>562</v>
      </c>
      <c r="F156" s="11">
        <f t="shared" si="18"/>
        <v>0.15152332165004045</v>
      </c>
      <c r="G156" s="10">
        <v>42</v>
      </c>
      <c r="H156" s="11">
        <f t="shared" si="19"/>
        <v>7.4733096085409248E-2</v>
      </c>
    </row>
    <row r="157" spans="1:8" ht="24.9" customHeight="1" x14ac:dyDescent="0.3">
      <c r="A157" s="3" t="s">
        <v>30</v>
      </c>
      <c r="B157" s="16">
        <v>540</v>
      </c>
      <c r="C157" s="10">
        <v>61</v>
      </c>
      <c r="D157" s="11">
        <f>SUM(C157/B157)</f>
        <v>0.11296296296296296</v>
      </c>
      <c r="E157" s="10">
        <v>141</v>
      </c>
      <c r="F157" s="11">
        <f t="shared" si="18"/>
        <v>0.26111111111111113</v>
      </c>
      <c r="G157" s="10">
        <v>21</v>
      </c>
      <c r="H157" s="11">
        <f t="shared" si="19"/>
        <v>0.14893617021276595</v>
      </c>
    </row>
    <row r="158" spans="1:8" ht="24.9" customHeight="1" x14ac:dyDescent="0.3">
      <c r="A158" s="3" t="s">
        <v>155</v>
      </c>
      <c r="B158" s="16">
        <v>2318</v>
      </c>
      <c r="C158" s="10">
        <v>135</v>
      </c>
      <c r="D158" s="11">
        <f>SUM(C158/B158)</f>
        <v>5.823986194995686E-2</v>
      </c>
      <c r="E158" s="10">
        <v>348</v>
      </c>
      <c r="F158" s="11">
        <f t="shared" si="18"/>
        <v>0.15012942191544434</v>
      </c>
      <c r="G158" s="10">
        <v>28</v>
      </c>
      <c r="H158" s="11">
        <f t="shared" si="19"/>
        <v>8.0459770114942528E-2</v>
      </c>
    </row>
    <row r="159" spans="1:8" ht="24.9" customHeight="1" x14ac:dyDescent="0.3">
      <c r="A159" s="3" t="s">
        <v>156</v>
      </c>
      <c r="B159" s="16">
        <v>45</v>
      </c>
      <c r="C159" s="10">
        <v>75</v>
      </c>
      <c r="D159" s="11">
        <f>SUM(C159/B159)</f>
        <v>1.6666666666666667</v>
      </c>
      <c r="E159" s="10">
        <v>251</v>
      </c>
      <c r="F159" s="11">
        <f t="shared" si="18"/>
        <v>5.5777777777777775</v>
      </c>
      <c r="G159" s="10">
        <v>52</v>
      </c>
      <c r="H159" s="11">
        <f t="shared" si="19"/>
        <v>0.20717131474103587</v>
      </c>
    </row>
    <row r="160" spans="1:8" ht="24.9" customHeight="1" x14ac:dyDescent="0.3">
      <c r="A160" s="3" t="s">
        <v>222</v>
      </c>
      <c r="B160" s="16">
        <v>10681</v>
      </c>
      <c r="C160" s="10"/>
      <c r="D160" s="11"/>
      <c r="E160" s="10">
        <v>2532</v>
      </c>
      <c r="F160" s="11">
        <f t="shared" si="18"/>
        <v>0.23705645538807227</v>
      </c>
      <c r="G160" s="10">
        <v>254</v>
      </c>
      <c r="H160" s="11">
        <f t="shared" si="19"/>
        <v>0.10031595576619273</v>
      </c>
    </row>
    <row r="161" spans="1:8" ht="24.9" customHeight="1" x14ac:dyDescent="0.3">
      <c r="A161" s="3" t="s">
        <v>157</v>
      </c>
      <c r="B161" s="16">
        <v>3100</v>
      </c>
      <c r="C161" s="10"/>
      <c r="D161" s="11"/>
      <c r="E161" s="10">
        <v>909</v>
      </c>
      <c r="F161" s="11">
        <f t="shared" si="18"/>
        <v>0.29322580645161289</v>
      </c>
      <c r="G161" s="10">
        <v>109</v>
      </c>
      <c r="H161" s="11">
        <f t="shared" si="19"/>
        <v>0.11991199119911991</v>
      </c>
    </row>
    <row r="162" spans="1:8" ht="24.9" customHeight="1" x14ac:dyDescent="0.3">
      <c r="A162" s="3" t="s">
        <v>158</v>
      </c>
      <c r="B162" s="16">
        <v>939</v>
      </c>
      <c r="C162" s="10">
        <v>88</v>
      </c>
      <c r="D162" s="11">
        <f>SUM(C162/B162)</f>
        <v>9.3716719914802987E-2</v>
      </c>
      <c r="E162" s="10">
        <v>162</v>
      </c>
      <c r="F162" s="11">
        <f t="shared" si="18"/>
        <v>0.17252396166134185</v>
      </c>
      <c r="G162" s="10">
        <v>10</v>
      </c>
      <c r="H162" s="11">
        <f t="shared" si="19"/>
        <v>6.1728395061728392E-2</v>
      </c>
    </row>
    <row r="163" spans="1:8" ht="24.9" customHeight="1" x14ac:dyDescent="0.3">
      <c r="A163" s="3" t="s">
        <v>223</v>
      </c>
      <c r="B163" s="16">
        <v>457</v>
      </c>
      <c r="C163" s="10">
        <v>25</v>
      </c>
      <c r="D163" s="11">
        <f>SUM(C163/B163)</f>
        <v>5.4704595185995623E-2</v>
      </c>
      <c r="E163" s="10"/>
      <c r="F163" s="11"/>
      <c r="G163" s="10"/>
      <c r="H163" s="11"/>
    </row>
    <row r="164" spans="1:8" ht="24.9" customHeight="1" x14ac:dyDescent="0.3">
      <c r="A164" s="3" t="s">
        <v>159</v>
      </c>
      <c r="B164" s="16">
        <v>89</v>
      </c>
      <c r="C164" s="10">
        <v>20</v>
      </c>
      <c r="D164" s="11">
        <f>SUM(C164/B164)</f>
        <v>0.2247191011235955</v>
      </c>
      <c r="E164" s="10">
        <v>19</v>
      </c>
      <c r="F164" s="11">
        <f>SUM(E164/B164)</f>
        <v>0.21348314606741572</v>
      </c>
      <c r="G164" s="10">
        <v>2</v>
      </c>
      <c r="H164" s="11">
        <f>SUM(G164/E164)</f>
        <v>0.10526315789473684</v>
      </c>
    </row>
    <row r="165" spans="1:8" ht="24.9" customHeight="1" x14ac:dyDescent="0.3">
      <c r="A165" s="3" t="s">
        <v>160</v>
      </c>
      <c r="B165" s="16">
        <v>2744</v>
      </c>
      <c r="C165" s="10">
        <v>80</v>
      </c>
      <c r="D165" s="11">
        <f>SUM(C165/B165)</f>
        <v>2.9154518950437316E-2</v>
      </c>
      <c r="E165" s="10">
        <v>413</v>
      </c>
      <c r="F165" s="11">
        <f>SUM(E165/B165)</f>
        <v>0.15051020408163265</v>
      </c>
      <c r="G165" s="10">
        <v>45</v>
      </c>
      <c r="H165" s="11">
        <f>SUM(G165/E165)</f>
        <v>0.10895883777239709</v>
      </c>
    </row>
    <row r="166" spans="1:8" ht="24.9" customHeight="1" x14ac:dyDescent="0.3">
      <c r="A166" s="3" t="s">
        <v>31</v>
      </c>
      <c r="B166" s="16">
        <v>1135</v>
      </c>
      <c r="C166" s="10"/>
      <c r="D166" s="11"/>
      <c r="E166" s="10">
        <v>126</v>
      </c>
      <c r="F166" s="11">
        <f>SUM(E166/B166)</f>
        <v>0.11101321585903083</v>
      </c>
      <c r="G166" s="10">
        <v>1</v>
      </c>
      <c r="H166" s="11">
        <f>SUM(G166/E166)</f>
        <v>7.9365079365079361E-3</v>
      </c>
    </row>
    <row r="167" spans="1:8" ht="24.9" customHeight="1" x14ac:dyDescent="0.3">
      <c r="A167" s="3" t="s">
        <v>161</v>
      </c>
      <c r="B167" s="16">
        <v>458</v>
      </c>
      <c r="C167" s="10">
        <v>170</v>
      </c>
      <c r="D167" s="11">
        <f>SUM(C167/B167)</f>
        <v>0.37117903930131002</v>
      </c>
      <c r="E167" s="10"/>
      <c r="F167" s="11"/>
      <c r="G167" s="10"/>
      <c r="H167" s="11"/>
    </row>
    <row r="168" spans="1:8" ht="24.9" customHeight="1" x14ac:dyDescent="0.3">
      <c r="A168" s="3" t="s">
        <v>162</v>
      </c>
      <c r="B168" s="16">
        <v>6377</v>
      </c>
      <c r="C168" s="10"/>
      <c r="D168" s="11"/>
      <c r="E168" s="10">
        <v>1432</v>
      </c>
      <c r="F168" s="11">
        <f t="shared" ref="F168:F178" si="20">SUM(E168/B168)</f>
        <v>0.22455700172494902</v>
      </c>
      <c r="G168" s="10">
        <v>441</v>
      </c>
      <c r="H168" s="11">
        <f t="shared" ref="H168:H178" si="21">SUM(G168/E168)</f>
        <v>0.30796089385474862</v>
      </c>
    </row>
    <row r="169" spans="1:8" ht="24.9" customHeight="1" x14ac:dyDescent="0.3">
      <c r="A169" s="3" t="s">
        <v>163</v>
      </c>
      <c r="B169" s="16">
        <v>1512</v>
      </c>
      <c r="C169" s="10">
        <v>137</v>
      </c>
      <c r="D169" s="11">
        <f>SUM(C169/B169)</f>
        <v>9.060846560846561E-2</v>
      </c>
      <c r="E169" s="10">
        <v>242</v>
      </c>
      <c r="F169" s="11">
        <f t="shared" si="20"/>
        <v>0.16005291005291006</v>
      </c>
      <c r="G169" s="10">
        <v>6</v>
      </c>
      <c r="H169" s="11">
        <f t="shared" si="21"/>
        <v>2.4793388429752067E-2</v>
      </c>
    </row>
    <row r="170" spans="1:8" ht="24.9" customHeight="1" x14ac:dyDescent="0.3">
      <c r="A170" s="3" t="s">
        <v>164</v>
      </c>
      <c r="B170" s="16">
        <v>873</v>
      </c>
      <c r="C170" s="10">
        <v>77</v>
      </c>
      <c r="D170" s="11">
        <f>SUM(C170/B170)</f>
        <v>8.8201603665521197E-2</v>
      </c>
      <c r="E170" s="10">
        <v>163</v>
      </c>
      <c r="F170" s="11">
        <f t="shared" si="20"/>
        <v>0.18671248568155785</v>
      </c>
      <c r="G170" s="10">
        <v>12</v>
      </c>
      <c r="H170" s="11">
        <f t="shared" si="21"/>
        <v>7.3619631901840496E-2</v>
      </c>
    </row>
    <row r="171" spans="1:8" ht="24.9" customHeight="1" x14ac:dyDescent="0.3">
      <c r="A171" s="3" t="s">
        <v>32</v>
      </c>
      <c r="B171" s="16">
        <v>900</v>
      </c>
      <c r="C171" s="10"/>
      <c r="D171" s="11"/>
      <c r="E171" s="10">
        <v>239</v>
      </c>
      <c r="F171" s="11">
        <f t="shared" si="20"/>
        <v>0.26555555555555554</v>
      </c>
      <c r="G171" s="10">
        <v>21</v>
      </c>
      <c r="H171" s="11">
        <f t="shared" si="21"/>
        <v>8.7866108786610872E-2</v>
      </c>
    </row>
    <row r="172" spans="1:8" ht="24.9" customHeight="1" x14ac:dyDescent="0.3">
      <c r="A172" s="3" t="s">
        <v>165</v>
      </c>
      <c r="B172" s="16">
        <v>14813</v>
      </c>
      <c r="C172" s="10"/>
      <c r="D172" s="11"/>
      <c r="E172" s="10">
        <v>2641</v>
      </c>
      <c r="F172" s="11">
        <f t="shared" si="20"/>
        <v>0.17828934044420441</v>
      </c>
      <c r="G172" s="10">
        <v>538</v>
      </c>
      <c r="H172" s="11">
        <f t="shared" si="21"/>
        <v>0.2037107156380159</v>
      </c>
    </row>
    <row r="173" spans="1:8" ht="24.9" customHeight="1" x14ac:dyDescent="0.3">
      <c r="A173" s="3" t="s">
        <v>166</v>
      </c>
      <c r="B173" s="16">
        <v>1543</v>
      </c>
      <c r="C173" s="10">
        <v>72</v>
      </c>
      <c r="D173" s="11">
        <f>SUM(C173/B173)</f>
        <v>4.6662346079066754E-2</v>
      </c>
      <c r="E173" s="10">
        <v>362</v>
      </c>
      <c r="F173" s="11">
        <f t="shared" si="20"/>
        <v>0.23460790667530784</v>
      </c>
      <c r="G173" s="10">
        <v>24</v>
      </c>
      <c r="H173" s="11">
        <f t="shared" si="21"/>
        <v>6.6298342541436461E-2</v>
      </c>
    </row>
    <row r="174" spans="1:8" ht="24.9" customHeight="1" x14ac:dyDescent="0.3">
      <c r="A174" s="3" t="s">
        <v>167</v>
      </c>
      <c r="B174" s="16">
        <v>7170</v>
      </c>
      <c r="C174" s="10"/>
      <c r="D174" s="11"/>
      <c r="E174" s="10">
        <v>1305</v>
      </c>
      <c r="F174" s="11">
        <f t="shared" si="20"/>
        <v>0.18200836820083682</v>
      </c>
      <c r="G174" s="10">
        <v>212</v>
      </c>
      <c r="H174" s="11">
        <f t="shared" si="21"/>
        <v>0.16245210727969348</v>
      </c>
    </row>
    <row r="175" spans="1:8" ht="24.9" customHeight="1" x14ac:dyDescent="0.3">
      <c r="A175" s="3" t="s">
        <v>168</v>
      </c>
      <c r="B175" s="16">
        <v>5100</v>
      </c>
      <c r="C175" s="10"/>
      <c r="D175" s="11"/>
      <c r="E175" s="10">
        <v>560</v>
      </c>
      <c r="F175" s="11">
        <f t="shared" si="20"/>
        <v>0.10980392156862745</v>
      </c>
      <c r="G175" s="10">
        <v>64</v>
      </c>
      <c r="H175" s="11">
        <f t="shared" si="21"/>
        <v>0.11428571428571428</v>
      </c>
    </row>
    <row r="176" spans="1:8" s="13" customFormat="1" ht="24.9" customHeight="1" x14ac:dyDescent="0.3">
      <c r="A176" s="3" t="s">
        <v>243</v>
      </c>
      <c r="B176" s="16">
        <v>4691</v>
      </c>
      <c r="C176" s="10"/>
      <c r="D176" s="11"/>
      <c r="E176" s="10">
        <v>1090</v>
      </c>
      <c r="F176" s="11">
        <f>SUM(E176/B176)</f>
        <v>0.2323598379876359</v>
      </c>
      <c r="G176" s="10">
        <v>241</v>
      </c>
      <c r="H176" s="11">
        <f>SUM(G176/E176)</f>
        <v>0.22110091743119267</v>
      </c>
    </row>
    <row r="177" spans="1:8" ht="24.9" customHeight="1" x14ac:dyDescent="0.3">
      <c r="A177" s="3" t="s">
        <v>33</v>
      </c>
      <c r="B177" s="16">
        <v>4072</v>
      </c>
      <c r="C177" s="10"/>
      <c r="D177" s="11"/>
      <c r="E177" s="10">
        <v>984</v>
      </c>
      <c r="F177" s="11">
        <f t="shared" si="20"/>
        <v>0.24165029469548133</v>
      </c>
      <c r="G177" s="10">
        <v>139</v>
      </c>
      <c r="H177" s="11">
        <f t="shared" si="21"/>
        <v>0.14126016260162602</v>
      </c>
    </row>
    <row r="178" spans="1:8" ht="24.9" customHeight="1" x14ac:dyDescent="0.3">
      <c r="A178" s="3" t="s">
        <v>224</v>
      </c>
      <c r="B178" s="16">
        <v>650</v>
      </c>
      <c r="C178" s="10">
        <v>90</v>
      </c>
      <c r="D178" s="11">
        <f t="shared" ref="D178:D186" si="22">SUM(C178/B178)</f>
        <v>0.13846153846153847</v>
      </c>
      <c r="E178" s="10">
        <v>89</v>
      </c>
      <c r="F178" s="11">
        <f t="shared" si="20"/>
        <v>0.13692307692307693</v>
      </c>
      <c r="G178" s="10">
        <v>5</v>
      </c>
      <c r="H178" s="11">
        <f t="shared" si="21"/>
        <v>5.6179775280898875E-2</v>
      </c>
    </row>
    <row r="179" spans="1:8" ht="24.9" customHeight="1" x14ac:dyDescent="0.3">
      <c r="A179" s="3" t="s">
        <v>34</v>
      </c>
      <c r="B179" s="16">
        <v>150</v>
      </c>
      <c r="C179" s="10">
        <v>24</v>
      </c>
      <c r="D179" s="11">
        <f t="shared" si="22"/>
        <v>0.16</v>
      </c>
      <c r="E179" s="10"/>
      <c r="F179" s="11"/>
      <c r="G179" s="10"/>
      <c r="H179" s="11"/>
    </row>
    <row r="180" spans="1:8" ht="24.9" customHeight="1" x14ac:dyDescent="0.3">
      <c r="A180" s="3" t="s">
        <v>169</v>
      </c>
      <c r="B180" s="16">
        <v>1372</v>
      </c>
      <c r="C180" s="10">
        <v>111</v>
      </c>
      <c r="D180" s="11">
        <f t="shared" si="22"/>
        <v>8.0903790087463553E-2</v>
      </c>
      <c r="E180" s="10">
        <v>292</v>
      </c>
      <c r="F180" s="11">
        <f>SUM(E180/B180)</f>
        <v>0.21282798833819241</v>
      </c>
      <c r="G180" s="10">
        <v>29</v>
      </c>
      <c r="H180" s="11">
        <f>SUM(G180/E180)</f>
        <v>9.9315068493150679E-2</v>
      </c>
    </row>
    <row r="181" spans="1:8" ht="24.9" customHeight="1" x14ac:dyDescent="0.3">
      <c r="A181" s="3" t="s">
        <v>170</v>
      </c>
      <c r="B181" s="16">
        <v>530</v>
      </c>
      <c r="C181" s="10">
        <v>50</v>
      </c>
      <c r="D181" s="11">
        <f t="shared" si="22"/>
        <v>9.4339622641509441E-2</v>
      </c>
      <c r="E181" s="10"/>
      <c r="F181" s="11"/>
      <c r="G181" s="10"/>
      <c r="H181" s="11"/>
    </row>
    <row r="182" spans="1:8" ht="24.9" customHeight="1" x14ac:dyDescent="0.3">
      <c r="A182" s="3" t="s">
        <v>171</v>
      </c>
      <c r="B182" s="16">
        <v>4233</v>
      </c>
      <c r="C182" s="10">
        <v>134</v>
      </c>
      <c r="D182" s="11">
        <f t="shared" si="22"/>
        <v>3.1656035908339236E-2</v>
      </c>
      <c r="E182" s="10">
        <v>603</v>
      </c>
      <c r="F182" s="11">
        <f>SUM(E182/B182)</f>
        <v>0.14245216158752658</v>
      </c>
      <c r="G182" s="10">
        <v>187</v>
      </c>
      <c r="H182" s="11">
        <f>SUM(G182/E182)</f>
        <v>0.3101160862354892</v>
      </c>
    </row>
    <row r="183" spans="1:8" ht="24.9" customHeight="1" x14ac:dyDescent="0.3">
      <c r="A183" s="3" t="s">
        <v>172</v>
      </c>
      <c r="B183" s="16">
        <v>194</v>
      </c>
      <c r="C183" s="10">
        <v>70</v>
      </c>
      <c r="D183" s="11">
        <f t="shared" si="22"/>
        <v>0.36082474226804123</v>
      </c>
      <c r="E183" s="10"/>
      <c r="F183" s="11"/>
      <c r="G183" s="10"/>
      <c r="H183" s="11"/>
    </row>
    <row r="184" spans="1:8" ht="24.9" customHeight="1" x14ac:dyDescent="0.3">
      <c r="A184" s="3" t="s">
        <v>173</v>
      </c>
      <c r="B184" s="16">
        <v>62</v>
      </c>
      <c r="C184" s="10">
        <v>45</v>
      </c>
      <c r="D184" s="11">
        <f t="shared" si="22"/>
        <v>0.72580645161290325</v>
      </c>
      <c r="E184" s="10"/>
      <c r="F184" s="11"/>
      <c r="G184" s="10"/>
      <c r="H184" s="11"/>
    </row>
    <row r="185" spans="1:8" ht="24.9" customHeight="1" x14ac:dyDescent="0.3">
      <c r="A185" s="3" t="s">
        <v>35</v>
      </c>
      <c r="B185" s="16">
        <v>733</v>
      </c>
      <c r="C185" s="10">
        <v>43</v>
      </c>
      <c r="D185" s="11">
        <f t="shared" si="22"/>
        <v>5.8663028649386086E-2</v>
      </c>
      <c r="E185" s="10">
        <v>131</v>
      </c>
      <c r="F185" s="11">
        <f>SUM(E185/B185)</f>
        <v>0.17871759890859482</v>
      </c>
      <c r="G185" s="10">
        <v>6</v>
      </c>
      <c r="H185" s="11">
        <f>SUM(G185/E185)</f>
        <v>4.5801526717557252E-2</v>
      </c>
    </row>
    <row r="186" spans="1:8" ht="24.9" customHeight="1" x14ac:dyDescent="0.3">
      <c r="A186" s="3" t="s">
        <v>225</v>
      </c>
      <c r="B186" s="16">
        <v>741</v>
      </c>
      <c r="C186" s="10">
        <v>94</v>
      </c>
      <c r="D186" s="11">
        <f t="shared" si="22"/>
        <v>0.12685560053981107</v>
      </c>
      <c r="E186" s="10"/>
      <c r="F186" s="11"/>
      <c r="G186" s="10"/>
      <c r="H186" s="11"/>
    </row>
    <row r="187" spans="1:8" ht="24.9" customHeight="1" x14ac:dyDescent="0.3">
      <c r="A187" s="3" t="s">
        <v>36</v>
      </c>
      <c r="B187" s="16">
        <v>4222</v>
      </c>
      <c r="C187" s="10"/>
      <c r="D187" s="11"/>
      <c r="E187" s="10">
        <v>703</v>
      </c>
      <c r="F187" s="11">
        <f>SUM(E187/B187)</f>
        <v>0.16650876361913786</v>
      </c>
      <c r="G187" s="10">
        <v>136</v>
      </c>
      <c r="H187" s="11">
        <f>SUM(G187/E187)</f>
        <v>0.19345661450924609</v>
      </c>
    </row>
    <row r="188" spans="1:8" ht="24.9" customHeight="1" x14ac:dyDescent="0.3">
      <c r="A188" s="3" t="s">
        <v>174</v>
      </c>
      <c r="B188" s="16">
        <v>2287</v>
      </c>
      <c r="C188" s="10">
        <v>156</v>
      </c>
      <c r="D188" s="11">
        <f t="shared" ref="D188:D193" si="23">SUM(C188/B188)</f>
        <v>6.8211630957586353E-2</v>
      </c>
      <c r="E188" s="10">
        <v>1559</v>
      </c>
      <c r="F188" s="11">
        <f>SUM(E188/B188)</f>
        <v>0.68167905553126362</v>
      </c>
      <c r="G188" s="10">
        <v>42</v>
      </c>
      <c r="H188" s="11">
        <f>SUM(G188/E188)</f>
        <v>2.6940346375881975E-2</v>
      </c>
    </row>
    <row r="189" spans="1:8" ht="24.9" customHeight="1" x14ac:dyDescent="0.3">
      <c r="A189" s="3" t="s">
        <v>175</v>
      </c>
      <c r="B189" s="16">
        <v>389</v>
      </c>
      <c r="C189" s="10">
        <v>60</v>
      </c>
      <c r="D189" s="11">
        <f t="shared" si="23"/>
        <v>0.15424164524421594</v>
      </c>
      <c r="E189" s="10">
        <v>110</v>
      </c>
      <c r="F189" s="11">
        <f>SUM(E189/B189)</f>
        <v>0.28277634961439591</v>
      </c>
      <c r="G189" s="10">
        <v>9</v>
      </c>
      <c r="H189" s="11">
        <f>SUM(G189/E189)</f>
        <v>8.1818181818181818E-2</v>
      </c>
    </row>
    <row r="190" spans="1:8" ht="24.9" customHeight="1" x14ac:dyDescent="0.3">
      <c r="A190" s="3" t="s">
        <v>177</v>
      </c>
      <c r="B190" s="16">
        <v>849</v>
      </c>
      <c r="C190" s="10">
        <v>70</v>
      </c>
      <c r="D190" s="11">
        <f t="shared" si="23"/>
        <v>8.2449941107184926E-2</v>
      </c>
      <c r="E190" s="10"/>
      <c r="F190" s="11"/>
      <c r="G190" s="10"/>
      <c r="H190" s="11"/>
    </row>
    <row r="191" spans="1:8" ht="24.9" customHeight="1" x14ac:dyDescent="0.3">
      <c r="A191" s="3" t="s">
        <v>178</v>
      </c>
      <c r="B191" s="16">
        <v>134</v>
      </c>
      <c r="C191" s="10">
        <v>111</v>
      </c>
      <c r="D191" s="11">
        <f t="shared" si="23"/>
        <v>0.82835820895522383</v>
      </c>
      <c r="E191" s="10"/>
      <c r="F191" s="11"/>
      <c r="G191" s="10"/>
      <c r="H191" s="11"/>
    </row>
    <row r="192" spans="1:8" ht="24.9" customHeight="1" x14ac:dyDescent="0.3">
      <c r="A192" s="3" t="s">
        <v>179</v>
      </c>
      <c r="B192" s="16">
        <v>1042</v>
      </c>
      <c r="C192" s="10">
        <v>47</v>
      </c>
      <c r="D192" s="11">
        <f t="shared" si="23"/>
        <v>4.5105566218809984E-2</v>
      </c>
      <c r="E192" s="10"/>
      <c r="F192" s="11"/>
      <c r="G192" s="10"/>
      <c r="H192" s="11"/>
    </row>
    <row r="193" spans="1:8" ht="24.9" customHeight="1" x14ac:dyDescent="0.3">
      <c r="A193" s="3" t="s">
        <v>227</v>
      </c>
      <c r="B193" s="16">
        <v>1045</v>
      </c>
      <c r="C193" s="10">
        <v>168</v>
      </c>
      <c r="D193" s="11">
        <f t="shared" si="23"/>
        <v>0.16076555023923444</v>
      </c>
      <c r="E193" s="10"/>
      <c r="F193" s="11"/>
      <c r="G193" s="10"/>
      <c r="H193" s="11"/>
    </row>
    <row r="194" spans="1:8" ht="24.9" customHeight="1" x14ac:dyDescent="0.3">
      <c r="A194" s="3" t="s">
        <v>180</v>
      </c>
      <c r="B194" s="16">
        <v>2552</v>
      </c>
      <c r="C194" s="10"/>
      <c r="D194" s="11"/>
      <c r="E194" s="10">
        <v>525</v>
      </c>
      <c r="F194" s="11">
        <f t="shared" ref="F194:F201" si="24">SUM(E194/B194)</f>
        <v>0.20572100313479624</v>
      </c>
      <c r="G194" s="10">
        <v>75</v>
      </c>
      <c r="H194" s="11">
        <f t="shared" ref="H194:H201" si="25">SUM(G194/E194)</f>
        <v>0.14285714285714285</v>
      </c>
    </row>
    <row r="195" spans="1:8" ht="24.9" customHeight="1" x14ac:dyDescent="0.3">
      <c r="A195" s="3" t="s">
        <v>181</v>
      </c>
      <c r="B195" s="16">
        <v>1947</v>
      </c>
      <c r="C195" s="10"/>
      <c r="D195" s="11"/>
      <c r="E195" s="10">
        <v>450</v>
      </c>
      <c r="F195" s="11">
        <f t="shared" si="24"/>
        <v>0.23112480739599384</v>
      </c>
      <c r="G195" s="10">
        <v>25</v>
      </c>
      <c r="H195" s="11">
        <f t="shared" si="25"/>
        <v>5.5555555555555552E-2</v>
      </c>
    </row>
    <row r="196" spans="1:8" ht="24.9" customHeight="1" x14ac:dyDescent="0.3">
      <c r="A196" s="3" t="s">
        <v>37</v>
      </c>
      <c r="B196" s="16">
        <v>1836</v>
      </c>
      <c r="C196" s="10">
        <v>185</v>
      </c>
      <c r="D196" s="11">
        <f t="shared" ref="D196:D205" si="26">SUM(C196/B196)</f>
        <v>0.10076252723311546</v>
      </c>
      <c r="E196" s="10">
        <v>291</v>
      </c>
      <c r="F196" s="11">
        <f t="shared" si="24"/>
        <v>0.15849673202614378</v>
      </c>
      <c r="G196" s="10">
        <v>33</v>
      </c>
      <c r="H196" s="11">
        <f t="shared" si="25"/>
        <v>0.1134020618556701</v>
      </c>
    </row>
    <row r="197" spans="1:8" ht="24.9" customHeight="1" x14ac:dyDescent="0.3">
      <c r="A197" s="3" t="s">
        <v>228</v>
      </c>
      <c r="B197" s="16">
        <v>511</v>
      </c>
      <c r="C197" s="10">
        <v>50</v>
      </c>
      <c r="D197" s="11">
        <f t="shared" si="26"/>
        <v>9.7847358121330719E-2</v>
      </c>
      <c r="E197" s="10">
        <v>65</v>
      </c>
      <c r="F197" s="11">
        <f t="shared" si="24"/>
        <v>0.12720156555772993</v>
      </c>
      <c r="G197" s="10">
        <v>2</v>
      </c>
      <c r="H197" s="11">
        <f t="shared" si="25"/>
        <v>3.0769230769230771E-2</v>
      </c>
    </row>
    <row r="198" spans="1:8" ht="24.9" customHeight="1" x14ac:dyDescent="0.3">
      <c r="A198" s="3" t="s">
        <v>182</v>
      </c>
      <c r="B198" s="16">
        <v>71</v>
      </c>
      <c r="C198" s="10">
        <v>22</v>
      </c>
      <c r="D198" s="11">
        <f t="shared" si="26"/>
        <v>0.30985915492957744</v>
      </c>
      <c r="E198" s="10">
        <v>40</v>
      </c>
      <c r="F198" s="11">
        <f t="shared" si="24"/>
        <v>0.56338028169014087</v>
      </c>
      <c r="G198" s="10">
        <v>20</v>
      </c>
      <c r="H198" s="11">
        <f t="shared" si="25"/>
        <v>0.5</v>
      </c>
    </row>
    <row r="199" spans="1:8" ht="24.9" customHeight="1" x14ac:dyDescent="0.3">
      <c r="A199" s="3" t="s">
        <v>183</v>
      </c>
      <c r="B199" s="16">
        <v>1449</v>
      </c>
      <c r="C199" s="10">
        <v>100</v>
      </c>
      <c r="D199" s="11">
        <f t="shared" si="26"/>
        <v>6.901311249137336E-2</v>
      </c>
      <c r="E199" s="10">
        <v>388</v>
      </c>
      <c r="F199" s="11">
        <f t="shared" si="24"/>
        <v>0.26777087646652864</v>
      </c>
      <c r="G199" s="10">
        <v>42</v>
      </c>
      <c r="H199" s="11">
        <f t="shared" si="25"/>
        <v>0.10824742268041238</v>
      </c>
    </row>
    <row r="200" spans="1:8" ht="24.9" customHeight="1" x14ac:dyDescent="0.3">
      <c r="A200" s="3" t="s">
        <v>184</v>
      </c>
      <c r="B200" s="16">
        <v>668</v>
      </c>
      <c r="C200" s="10">
        <v>51</v>
      </c>
      <c r="D200" s="11">
        <f t="shared" si="26"/>
        <v>7.6347305389221562E-2</v>
      </c>
      <c r="E200" s="10">
        <v>119</v>
      </c>
      <c r="F200" s="11">
        <f t="shared" si="24"/>
        <v>0.17814371257485029</v>
      </c>
      <c r="G200" s="10">
        <v>14</v>
      </c>
      <c r="H200" s="11">
        <f t="shared" si="25"/>
        <v>0.11764705882352941</v>
      </c>
    </row>
    <row r="201" spans="1:8" ht="24.9" customHeight="1" x14ac:dyDescent="0.3">
      <c r="A201" s="3" t="s">
        <v>185</v>
      </c>
      <c r="B201" s="16">
        <v>1541</v>
      </c>
      <c r="C201" s="10">
        <v>85</v>
      </c>
      <c r="D201" s="11">
        <f t="shared" si="26"/>
        <v>5.5158987670343933E-2</v>
      </c>
      <c r="E201" s="10">
        <v>394</v>
      </c>
      <c r="F201" s="11">
        <f t="shared" si="24"/>
        <v>0.2556781310837119</v>
      </c>
      <c r="G201" s="10">
        <v>46</v>
      </c>
      <c r="H201" s="11">
        <f t="shared" si="25"/>
        <v>0.116751269035533</v>
      </c>
    </row>
    <row r="202" spans="1:8" ht="24.9" customHeight="1" x14ac:dyDescent="0.3">
      <c r="A202" s="3" t="s">
        <v>186</v>
      </c>
      <c r="B202" s="16">
        <v>372</v>
      </c>
      <c r="C202" s="10">
        <v>37</v>
      </c>
      <c r="D202" s="11">
        <f t="shared" si="26"/>
        <v>9.9462365591397844E-2</v>
      </c>
      <c r="E202" s="10"/>
      <c r="F202" s="11"/>
      <c r="G202" s="10"/>
      <c r="H202" s="11"/>
    </row>
    <row r="203" spans="1:8" ht="24.9" customHeight="1" x14ac:dyDescent="0.3">
      <c r="A203" s="4" t="s">
        <v>187</v>
      </c>
      <c r="B203" s="16">
        <v>562</v>
      </c>
      <c r="C203" s="10">
        <v>51</v>
      </c>
      <c r="D203" s="11">
        <f t="shared" si="26"/>
        <v>9.0747330960854092E-2</v>
      </c>
      <c r="E203" s="10">
        <v>56</v>
      </c>
      <c r="F203" s="11">
        <f>SUM(E203/B203)</f>
        <v>9.9644128113879002E-2</v>
      </c>
      <c r="G203" s="10">
        <v>3</v>
      </c>
      <c r="H203" s="11">
        <f>SUM(G203/E203)</f>
        <v>5.3571428571428568E-2</v>
      </c>
    </row>
    <row r="204" spans="1:8" ht="24.9" customHeight="1" x14ac:dyDescent="0.3">
      <c r="A204" s="4" t="s">
        <v>188</v>
      </c>
      <c r="B204" s="16">
        <v>1510</v>
      </c>
      <c r="C204" s="10">
        <v>87</v>
      </c>
      <c r="D204" s="11">
        <f t="shared" si="26"/>
        <v>5.7615894039735098E-2</v>
      </c>
      <c r="E204" s="10">
        <v>269</v>
      </c>
      <c r="F204" s="11">
        <f>SUM(E204/B204)</f>
        <v>0.17814569536423841</v>
      </c>
      <c r="G204" s="10">
        <v>22</v>
      </c>
      <c r="H204" s="11">
        <f>SUM(G204/E204)</f>
        <v>8.1784386617100371E-2</v>
      </c>
    </row>
    <row r="205" spans="1:8" ht="24.9" customHeight="1" x14ac:dyDescent="0.3">
      <c r="A205" s="4" t="s">
        <v>229</v>
      </c>
      <c r="B205" s="16">
        <v>790</v>
      </c>
      <c r="C205" s="10">
        <v>100</v>
      </c>
      <c r="D205" s="11">
        <f t="shared" si="26"/>
        <v>0.12658227848101267</v>
      </c>
      <c r="E205" s="10"/>
      <c r="F205" s="11"/>
      <c r="G205" s="10"/>
      <c r="H205" s="11"/>
    </row>
    <row r="206" spans="1:8" ht="24.9" customHeight="1" x14ac:dyDescent="0.3">
      <c r="A206" s="4" t="s">
        <v>189</v>
      </c>
      <c r="B206" s="16">
        <v>4424</v>
      </c>
      <c r="C206" s="10"/>
      <c r="D206" s="11"/>
      <c r="E206" s="10">
        <v>616</v>
      </c>
      <c r="F206" s="11">
        <f>SUM(E206/B206)</f>
        <v>0.13924050632911392</v>
      </c>
      <c r="G206" s="10">
        <v>64</v>
      </c>
      <c r="H206" s="11">
        <f>SUM(G206/E206)</f>
        <v>0.1038961038961039</v>
      </c>
    </row>
    <row r="207" spans="1:8" ht="24.9" customHeight="1" x14ac:dyDescent="0.3">
      <c r="A207" s="4" t="s">
        <v>190</v>
      </c>
      <c r="B207" s="16">
        <v>985</v>
      </c>
      <c r="C207" s="10"/>
      <c r="D207" s="11"/>
      <c r="E207" s="10">
        <v>98</v>
      </c>
      <c r="F207" s="11">
        <f>SUM(E207/B207)</f>
        <v>9.9492385786802029E-2</v>
      </c>
      <c r="G207" s="10">
        <v>6</v>
      </c>
      <c r="H207" s="11">
        <f>SUM(G207/E207)</f>
        <v>6.1224489795918366E-2</v>
      </c>
    </row>
    <row r="208" spans="1:8" ht="24.9" customHeight="1" x14ac:dyDescent="0.3">
      <c r="A208" s="4" t="s">
        <v>191</v>
      </c>
      <c r="B208" s="16">
        <v>589</v>
      </c>
      <c r="C208" s="10">
        <v>85</v>
      </c>
      <c r="D208" s="11">
        <f>SUM(C208/B208)</f>
        <v>0.14431239388794567</v>
      </c>
      <c r="E208" s="10"/>
      <c r="F208" s="11"/>
      <c r="G208" s="10">
        <v>17</v>
      </c>
      <c r="H208" s="11"/>
    </row>
    <row r="209" spans="1:8" ht="24.9" customHeight="1" x14ac:dyDescent="0.3">
      <c r="A209" s="4" t="s">
        <v>38</v>
      </c>
      <c r="B209" s="16">
        <v>2370</v>
      </c>
      <c r="C209" s="10">
        <v>138</v>
      </c>
      <c r="D209" s="11">
        <f>SUM(C209/B209)</f>
        <v>5.8227848101265821E-2</v>
      </c>
      <c r="E209" s="10">
        <v>721</v>
      </c>
      <c r="F209" s="11">
        <f t="shared" ref="F209:F218" si="27">SUM(E209/B209)</f>
        <v>0.30421940928270041</v>
      </c>
      <c r="G209" s="10">
        <v>74</v>
      </c>
      <c r="H209" s="11">
        <f t="shared" ref="H209:H217" si="28">SUM(G209/E209)</f>
        <v>0.10263522884882108</v>
      </c>
    </row>
    <row r="210" spans="1:8" ht="24.9" customHeight="1" x14ac:dyDescent="0.3">
      <c r="A210" s="4" t="s">
        <v>230</v>
      </c>
      <c r="B210" s="16">
        <v>980</v>
      </c>
      <c r="C210" s="10"/>
      <c r="D210" s="11"/>
      <c r="E210" s="10">
        <v>199</v>
      </c>
      <c r="F210" s="11">
        <f t="shared" si="27"/>
        <v>0.20306122448979591</v>
      </c>
      <c r="G210" s="10">
        <v>36</v>
      </c>
      <c r="H210" s="11">
        <f t="shared" si="28"/>
        <v>0.18090452261306533</v>
      </c>
    </row>
    <row r="211" spans="1:8" ht="24.9" customHeight="1" x14ac:dyDescent="0.3">
      <c r="A211" s="4" t="s">
        <v>192</v>
      </c>
      <c r="B211" s="16">
        <v>519</v>
      </c>
      <c r="C211" s="10">
        <v>30</v>
      </c>
      <c r="D211" s="11">
        <f>SUM(C211/B211)</f>
        <v>5.7803468208092484E-2</v>
      </c>
      <c r="E211" s="10">
        <v>64</v>
      </c>
      <c r="F211" s="11">
        <f t="shared" si="27"/>
        <v>0.1233140655105973</v>
      </c>
      <c r="G211" s="10">
        <v>1</v>
      </c>
      <c r="H211" s="11">
        <f t="shared" si="28"/>
        <v>1.5625E-2</v>
      </c>
    </row>
    <row r="212" spans="1:8" ht="24.9" customHeight="1" x14ac:dyDescent="0.3">
      <c r="A212" s="4" t="s">
        <v>39</v>
      </c>
      <c r="B212" s="16">
        <v>173</v>
      </c>
      <c r="C212" s="10"/>
      <c r="D212" s="11"/>
      <c r="E212" s="10">
        <v>60</v>
      </c>
      <c r="F212" s="11">
        <f t="shared" si="27"/>
        <v>0.34682080924855491</v>
      </c>
      <c r="G212" s="10">
        <v>2</v>
      </c>
      <c r="H212" s="11">
        <f t="shared" si="28"/>
        <v>3.3333333333333333E-2</v>
      </c>
    </row>
    <row r="213" spans="1:8" ht="24.9" customHeight="1" x14ac:dyDescent="0.3">
      <c r="A213" s="4" t="s">
        <v>236</v>
      </c>
      <c r="B213" s="16">
        <v>1669</v>
      </c>
      <c r="C213" s="10"/>
      <c r="D213" s="11"/>
      <c r="E213" s="10">
        <v>323</v>
      </c>
      <c r="F213" s="11">
        <f t="shared" si="27"/>
        <v>0.19352905931695627</v>
      </c>
      <c r="G213" s="10">
        <v>23</v>
      </c>
      <c r="H213" s="11">
        <f t="shared" si="28"/>
        <v>7.1207430340557279E-2</v>
      </c>
    </row>
    <row r="214" spans="1:8" ht="24.9" customHeight="1" x14ac:dyDescent="0.3">
      <c r="A214" s="4" t="s">
        <v>193</v>
      </c>
      <c r="B214" s="16">
        <v>118</v>
      </c>
      <c r="C214" s="10">
        <v>118</v>
      </c>
      <c r="D214" s="11">
        <f>SUM(C214/B214)</f>
        <v>1</v>
      </c>
      <c r="E214" s="10">
        <v>168</v>
      </c>
      <c r="F214" s="11">
        <f t="shared" si="27"/>
        <v>1.423728813559322</v>
      </c>
      <c r="G214" s="10">
        <v>4</v>
      </c>
      <c r="H214" s="11">
        <f t="shared" si="28"/>
        <v>2.3809523809523808E-2</v>
      </c>
    </row>
    <row r="215" spans="1:8" ht="24.9" customHeight="1" x14ac:dyDescent="0.3">
      <c r="A215" s="4" t="s">
        <v>194</v>
      </c>
      <c r="B215" s="16">
        <v>452</v>
      </c>
      <c r="C215" s="10">
        <v>45</v>
      </c>
      <c r="D215" s="11">
        <f>SUM(C215/B215)</f>
        <v>9.9557522123893807E-2</v>
      </c>
      <c r="E215" s="10">
        <v>109</v>
      </c>
      <c r="F215" s="11">
        <f t="shared" si="27"/>
        <v>0.24115044247787609</v>
      </c>
      <c r="G215" s="10">
        <v>4</v>
      </c>
      <c r="H215" s="11">
        <f t="shared" si="28"/>
        <v>3.669724770642202E-2</v>
      </c>
    </row>
    <row r="216" spans="1:8" ht="24.9" customHeight="1" x14ac:dyDescent="0.3">
      <c r="A216" s="4" t="s">
        <v>195</v>
      </c>
      <c r="B216" s="16">
        <v>1669</v>
      </c>
      <c r="C216" s="10">
        <v>35</v>
      </c>
      <c r="D216" s="11">
        <f>SUM(C216/B216)</f>
        <v>2.0970641102456562E-2</v>
      </c>
      <c r="E216" s="10">
        <v>273</v>
      </c>
      <c r="F216" s="11">
        <f t="shared" si="27"/>
        <v>0.16357100059916119</v>
      </c>
      <c r="G216" s="10">
        <v>30</v>
      </c>
      <c r="H216" s="11">
        <f t="shared" si="28"/>
        <v>0.10989010989010989</v>
      </c>
    </row>
    <row r="217" spans="1:8" ht="24.9" customHeight="1" x14ac:dyDescent="0.3">
      <c r="A217" s="4" t="s">
        <v>196</v>
      </c>
      <c r="B217" s="16">
        <v>2499</v>
      </c>
      <c r="C217" s="10"/>
      <c r="D217" s="11"/>
      <c r="E217" s="10">
        <v>245</v>
      </c>
      <c r="F217" s="11">
        <f t="shared" si="27"/>
        <v>9.8039215686274508E-2</v>
      </c>
      <c r="G217" s="10">
        <v>8</v>
      </c>
      <c r="H217" s="11">
        <f t="shared" si="28"/>
        <v>3.2653061224489799E-2</v>
      </c>
    </row>
    <row r="218" spans="1:8" ht="24.9" customHeight="1" x14ac:dyDescent="0.3">
      <c r="A218" s="4" t="s">
        <v>231</v>
      </c>
      <c r="B218" s="16">
        <v>285</v>
      </c>
      <c r="C218" s="10">
        <v>48</v>
      </c>
      <c r="D218" s="11">
        <f t="shared" ref="D218:D223" si="29">SUM(C218/B218)</f>
        <v>0.16842105263157894</v>
      </c>
      <c r="E218" s="10">
        <v>24</v>
      </c>
      <c r="F218" s="11">
        <f t="shared" si="27"/>
        <v>8.4210526315789472E-2</v>
      </c>
      <c r="G218" s="10"/>
      <c r="H218" s="11"/>
    </row>
    <row r="219" spans="1:8" ht="24.9" customHeight="1" x14ac:dyDescent="0.3">
      <c r="A219" s="4" t="s">
        <v>197</v>
      </c>
      <c r="B219" s="16">
        <v>111</v>
      </c>
      <c r="C219" s="10">
        <v>102</v>
      </c>
      <c r="D219" s="11">
        <f t="shared" si="29"/>
        <v>0.91891891891891897</v>
      </c>
      <c r="E219" s="10"/>
      <c r="F219" s="11"/>
      <c r="G219" s="10"/>
      <c r="H219" s="11"/>
    </row>
    <row r="220" spans="1:8" ht="24.9" customHeight="1" x14ac:dyDescent="0.3">
      <c r="A220" s="4" t="s">
        <v>198</v>
      </c>
      <c r="B220" s="16">
        <v>586</v>
      </c>
      <c r="C220" s="10">
        <v>50</v>
      </c>
      <c r="D220" s="11">
        <f t="shared" si="29"/>
        <v>8.5324232081911269E-2</v>
      </c>
      <c r="E220" s="10">
        <v>164</v>
      </c>
      <c r="F220" s="11">
        <f>SUM(E220/B220)</f>
        <v>0.27986348122866894</v>
      </c>
      <c r="G220" s="10">
        <v>23</v>
      </c>
      <c r="H220" s="11">
        <f>SUM(G220/E220)</f>
        <v>0.1402439024390244</v>
      </c>
    </row>
    <row r="221" spans="1:8" ht="24.9" customHeight="1" x14ac:dyDescent="0.3">
      <c r="A221" s="4" t="s">
        <v>232</v>
      </c>
      <c r="B221" s="16">
        <v>33</v>
      </c>
      <c r="C221" s="10">
        <v>33</v>
      </c>
      <c r="D221" s="11">
        <f t="shared" si="29"/>
        <v>1</v>
      </c>
      <c r="E221" s="10"/>
      <c r="F221" s="11"/>
      <c r="G221" s="10"/>
      <c r="H221" s="11"/>
    </row>
    <row r="222" spans="1:8" ht="24.9" customHeight="1" x14ac:dyDescent="0.3">
      <c r="A222" s="4" t="s">
        <v>40</v>
      </c>
      <c r="B222" s="16">
        <v>869</v>
      </c>
      <c r="C222" s="10">
        <v>97</v>
      </c>
      <c r="D222" s="11">
        <f t="shared" si="29"/>
        <v>0.11162255466052934</v>
      </c>
      <c r="E222" s="10">
        <v>274</v>
      </c>
      <c r="F222" s="11">
        <f>SUM(E222/B222)</f>
        <v>0.31530494821634064</v>
      </c>
      <c r="G222" s="10">
        <v>36</v>
      </c>
      <c r="H222" s="11">
        <f>SUM(G222/E222)</f>
        <v>0.13138686131386862</v>
      </c>
    </row>
    <row r="223" spans="1:8" ht="24.9" customHeight="1" x14ac:dyDescent="0.3">
      <c r="A223" s="4" t="s">
        <v>237</v>
      </c>
      <c r="B223" s="16">
        <v>2397</v>
      </c>
      <c r="C223" s="10">
        <v>89</v>
      </c>
      <c r="D223" s="11">
        <f t="shared" si="29"/>
        <v>3.7129745515227366E-2</v>
      </c>
      <c r="E223" s="10">
        <v>393</v>
      </c>
      <c r="F223" s="11">
        <f>SUM(E223/B223)</f>
        <v>0.16395494367959951</v>
      </c>
      <c r="G223" s="10">
        <v>42</v>
      </c>
      <c r="H223" s="11">
        <f>SUM(G223/E223)</f>
        <v>0.10687022900763359</v>
      </c>
    </row>
    <row r="224" spans="1:8" ht="24.9" customHeight="1" x14ac:dyDescent="0.3">
      <c r="A224" s="4" t="s">
        <v>199</v>
      </c>
      <c r="B224" s="16">
        <v>9485</v>
      </c>
      <c r="C224" s="10"/>
      <c r="D224" s="11"/>
      <c r="E224" s="10">
        <v>1607</v>
      </c>
      <c r="F224" s="11">
        <f>SUM(E224/B224)</f>
        <v>0.16942540853979968</v>
      </c>
      <c r="G224" s="10">
        <v>252</v>
      </c>
      <c r="H224" s="11">
        <f>SUM(G224/E224)</f>
        <v>0.15681393901680149</v>
      </c>
    </row>
    <row r="225" spans="1:8" ht="24.9" customHeight="1" x14ac:dyDescent="0.3">
      <c r="A225" s="4" t="s">
        <v>41</v>
      </c>
      <c r="B225" s="16">
        <v>1595</v>
      </c>
      <c r="C225" s="10">
        <v>65</v>
      </c>
      <c r="D225" s="11">
        <f>SUM(C225/B225)</f>
        <v>4.0752351097178681E-2</v>
      </c>
      <c r="E225" s="10">
        <v>200</v>
      </c>
      <c r="F225" s="11">
        <f>SUM(E225/B225)</f>
        <v>0.12539184952978055</v>
      </c>
      <c r="G225" s="10">
        <v>24</v>
      </c>
      <c r="H225" s="11">
        <f>SUM(G225/E225)</f>
        <v>0.12</v>
      </c>
    </row>
    <row r="226" spans="1:8" ht="24.9" customHeight="1" x14ac:dyDescent="0.3">
      <c r="A226" s="4" t="s">
        <v>200</v>
      </c>
      <c r="B226" s="16">
        <v>318</v>
      </c>
      <c r="C226" s="10">
        <v>86</v>
      </c>
      <c r="D226" s="11">
        <f>SUM(C226/B226)</f>
        <v>0.27044025157232704</v>
      </c>
      <c r="E226" s="10"/>
      <c r="F226" s="11"/>
      <c r="G226" s="10"/>
      <c r="H226" s="11"/>
    </row>
    <row r="227" spans="1:8" ht="24.9" customHeight="1" x14ac:dyDescent="0.3">
      <c r="A227" s="4" t="s">
        <v>201</v>
      </c>
      <c r="B227" s="16">
        <v>3079</v>
      </c>
      <c r="C227" s="10"/>
      <c r="D227" s="11"/>
      <c r="E227" s="10">
        <v>495</v>
      </c>
      <c r="F227" s="11">
        <f t="shared" ref="F227:F234" si="30">SUM(E227/B227)</f>
        <v>0.16076648262422866</v>
      </c>
      <c r="G227" s="10">
        <v>29</v>
      </c>
      <c r="H227" s="11">
        <f>SUM(G227/E227)</f>
        <v>5.8585858585858588E-2</v>
      </c>
    </row>
    <row r="228" spans="1:8" ht="24.9" customHeight="1" x14ac:dyDescent="0.3">
      <c r="A228" s="4" t="s">
        <v>202</v>
      </c>
      <c r="B228" s="16">
        <v>742</v>
      </c>
      <c r="C228" s="10">
        <v>65</v>
      </c>
      <c r="D228" s="11">
        <f>SUM(C228/B228)</f>
        <v>8.7601078167115903E-2</v>
      </c>
      <c r="E228" s="10">
        <v>113</v>
      </c>
      <c r="F228" s="11">
        <f t="shared" si="30"/>
        <v>0.15229110512129379</v>
      </c>
      <c r="G228" s="10">
        <v>10</v>
      </c>
      <c r="H228" s="11">
        <f>SUM(G228/E228)</f>
        <v>8.8495575221238937E-2</v>
      </c>
    </row>
    <row r="229" spans="1:8" ht="24.9" customHeight="1" x14ac:dyDescent="0.3">
      <c r="A229" s="4" t="s">
        <v>203</v>
      </c>
      <c r="B229" s="16">
        <v>5313</v>
      </c>
      <c r="C229" s="10"/>
      <c r="D229" s="11"/>
      <c r="E229" s="10">
        <v>1168</v>
      </c>
      <c r="F229" s="11">
        <f t="shared" si="30"/>
        <v>0.21983813288161114</v>
      </c>
      <c r="G229" s="10">
        <v>142</v>
      </c>
      <c r="H229" s="11">
        <f>SUM(G229/E229)</f>
        <v>0.12157534246575342</v>
      </c>
    </row>
    <row r="230" spans="1:8" ht="24.9" customHeight="1" x14ac:dyDescent="0.3">
      <c r="A230" s="4" t="s">
        <v>204</v>
      </c>
      <c r="B230" s="16">
        <v>1143</v>
      </c>
      <c r="C230" s="10">
        <v>125</v>
      </c>
      <c r="D230" s="11">
        <f>SUM(C230/B230)</f>
        <v>0.10936132983377078</v>
      </c>
      <c r="E230" s="10">
        <v>158</v>
      </c>
      <c r="F230" s="11">
        <f t="shared" si="30"/>
        <v>0.13823272090988625</v>
      </c>
      <c r="G230" s="10">
        <v>8</v>
      </c>
      <c r="H230" s="11">
        <f>SUM(G230/E230)</f>
        <v>5.0632911392405063E-2</v>
      </c>
    </row>
    <row r="231" spans="1:8" ht="24.9" customHeight="1" x14ac:dyDescent="0.3">
      <c r="A231" s="4" t="s">
        <v>205</v>
      </c>
      <c r="B231" s="16">
        <v>705</v>
      </c>
      <c r="C231" s="10">
        <v>82</v>
      </c>
      <c r="D231" s="11">
        <f>SUM(C231/B231)</f>
        <v>0.11631205673758865</v>
      </c>
      <c r="E231" s="10">
        <v>65</v>
      </c>
      <c r="F231" s="11">
        <f t="shared" si="30"/>
        <v>9.2198581560283682E-2</v>
      </c>
      <c r="G231" s="10"/>
      <c r="H231" s="11"/>
    </row>
    <row r="232" spans="1:8" ht="24.9" customHeight="1" x14ac:dyDescent="0.3">
      <c r="A232" s="4" t="s">
        <v>206</v>
      </c>
      <c r="B232" s="16">
        <v>294</v>
      </c>
      <c r="C232" s="10"/>
      <c r="D232" s="11"/>
      <c r="E232" s="10">
        <v>42</v>
      </c>
      <c r="F232" s="11">
        <f t="shared" si="30"/>
        <v>0.14285714285714285</v>
      </c>
      <c r="G232" s="10">
        <v>9</v>
      </c>
      <c r="H232" s="11">
        <f>SUM(G232/E232)</f>
        <v>0.21428571428571427</v>
      </c>
    </row>
    <row r="233" spans="1:8" ht="24.9" customHeight="1" x14ac:dyDescent="0.3">
      <c r="A233" s="4" t="s">
        <v>233</v>
      </c>
      <c r="B233" s="16">
        <v>2923</v>
      </c>
      <c r="C233" s="10">
        <v>120</v>
      </c>
      <c r="D233" s="11">
        <f>SUM(C233/B233)</f>
        <v>4.1053711939787886E-2</v>
      </c>
      <c r="E233" s="10">
        <v>788</v>
      </c>
      <c r="F233" s="11">
        <f t="shared" si="30"/>
        <v>0.26958604173794048</v>
      </c>
      <c r="G233" s="10">
        <v>73</v>
      </c>
      <c r="H233" s="11">
        <f>SUM(G233/E233)</f>
        <v>9.2639593908629442E-2</v>
      </c>
    </row>
    <row r="234" spans="1:8" ht="24.9" customHeight="1" thickBot="1" x14ac:dyDescent="0.35">
      <c r="A234" s="4" t="s">
        <v>42</v>
      </c>
      <c r="B234" s="16">
        <v>754</v>
      </c>
      <c r="C234" s="10">
        <v>150</v>
      </c>
      <c r="D234" s="11">
        <f>SUM(C234/B234)</f>
        <v>0.19893899204244031</v>
      </c>
      <c r="E234" s="10">
        <v>250</v>
      </c>
      <c r="F234" s="11">
        <f t="shared" si="30"/>
        <v>0.33156498673740054</v>
      </c>
      <c r="G234" s="10">
        <v>4</v>
      </c>
      <c r="H234" s="11">
        <f>SUM(G234/E234)</f>
        <v>1.6E-2</v>
      </c>
    </row>
    <row r="235" spans="1:8" customFormat="1" ht="15.5" thickTop="1" thickBot="1" x14ac:dyDescent="0.4">
      <c r="A235" s="5" t="s">
        <v>7</v>
      </c>
      <c r="B235" s="21">
        <v>176817</v>
      </c>
      <c r="C235" s="14">
        <f>SUM(Sheet1!C3:C234)</f>
        <v>13336</v>
      </c>
      <c r="D235" s="15">
        <f>SUM(C235/B235)</f>
        <v>7.542261207915528E-2</v>
      </c>
      <c r="E235" s="14"/>
      <c r="F235" s="15"/>
      <c r="G235" s="14"/>
      <c r="H235" s="15"/>
    </row>
    <row r="236" spans="1:8" customFormat="1" ht="15.5" thickTop="1" thickBot="1" x14ac:dyDescent="0.4">
      <c r="A236" s="5" t="s">
        <v>8</v>
      </c>
      <c r="B236" s="6">
        <v>432486</v>
      </c>
      <c r="C236" s="6"/>
      <c r="D236" s="7"/>
      <c r="E236" s="14">
        <f>SUM(Sheet1!E4:E234)</f>
        <v>85090</v>
      </c>
      <c r="F236" s="7">
        <f>SUM(E236/B236)</f>
        <v>0.19674625305790244</v>
      </c>
      <c r="G236" s="6">
        <f>SUM(Sheet1!G3:G234)</f>
        <v>11963</v>
      </c>
      <c r="H236" s="7">
        <f>SUM(G236/E236)</f>
        <v>0.14059231402044894</v>
      </c>
    </row>
    <row r="237" spans="1:8" ht="14.5" thickTop="1" x14ac:dyDescent="0.3"/>
    <row r="239" spans="1:8" x14ac:dyDescent="0.3">
      <c r="F239" s="12"/>
      <c r="G239" s="12"/>
    </row>
    <row r="240" spans="1:8" x14ac:dyDescent="0.3">
      <c r="F240" s="12"/>
      <c r="G240" s="12"/>
    </row>
    <row r="241" spans="1:7" x14ac:dyDescent="0.3">
      <c r="F241" s="12"/>
      <c r="G241" s="12"/>
    </row>
    <row r="242" spans="1:7" x14ac:dyDescent="0.3">
      <c r="F242" s="12"/>
      <c r="G242" s="12"/>
    </row>
    <row r="243" spans="1:7" x14ac:dyDescent="0.3">
      <c r="F243" s="12"/>
      <c r="G243" s="12"/>
    </row>
    <row r="244" spans="1:7" x14ac:dyDescent="0.3">
      <c r="F244" s="12"/>
      <c r="G244" s="12"/>
    </row>
    <row r="245" spans="1:7" x14ac:dyDescent="0.3">
      <c r="F245" s="12"/>
      <c r="G245" s="12"/>
    </row>
    <row r="246" spans="1:7" x14ac:dyDescent="0.3">
      <c r="F246" s="12"/>
      <c r="G246" s="12"/>
    </row>
    <row r="247" spans="1:7" x14ac:dyDescent="0.3">
      <c r="F247" s="12"/>
      <c r="G247" s="12"/>
    </row>
    <row r="248" spans="1:7" x14ac:dyDescent="0.3">
      <c r="A248" s="8"/>
      <c r="F248" s="12"/>
      <c r="G248" s="12"/>
    </row>
    <row r="249" spans="1:7" x14ac:dyDescent="0.3">
      <c r="A249" s="8"/>
      <c r="F249" s="12"/>
      <c r="G249" s="12"/>
    </row>
    <row r="250" spans="1:7" x14ac:dyDescent="0.3">
      <c r="A250" s="8"/>
      <c r="F250" s="12"/>
      <c r="G250" s="12"/>
    </row>
    <row r="251" spans="1:7" x14ac:dyDescent="0.3">
      <c r="A251" s="8"/>
      <c r="F251" s="12"/>
      <c r="G251" s="12"/>
    </row>
    <row r="252" spans="1:7" x14ac:dyDescent="0.3">
      <c r="A252" s="8"/>
      <c r="F252" s="12"/>
      <c r="G252" s="12"/>
    </row>
    <row r="253" spans="1:7" x14ac:dyDescent="0.3">
      <c r="A253" s="8"/>
      <c r="F253" s="12"/>
      <c r="G253" s="12"/>
    </row>
    <row r="254" spans="1:7" x14ac:dyDescent="0.3">
      <c r="A254" s="8"/>
      <c r="F254" s="12"/>
      <c r="G254" s="12"/>
    </row>
    <row r="255" spans="1:7" x14ac:dyDescent="0.3">
      <c r="A255" s="8"/>
      <c r="F255" s="12"/>
      <c r="G255" s="12"/>
    </row>
    <row r="256" spans="1:7" x14ac:dyDescent="0.3">
      <c r="A256" s="8"/>
      <c r="F256" s="12"/>
      <c r="G256" s="12"/>
    </row>
    <row r="257" spans="1:7" x14ac:dyDescent="0.3">
      <c r="A257" s="8"/>
      <c r="F257" s="12"/>
      <c r="G257" s="12"/>
    </row>
    <row r="258" spans="1:7" x14ac:dyDescent="0.3">
      <c r="A258" s="8"/>
      <c r="F258" s="12"/>
      <c r="G258" s="12"/>
    </row>
    <row r="259" spans="1:7" x14ac:dyDescent="0.3">
      <c r="A259" s="8"/>
      <c r="F259" s="12"/>
      <c r="G259" s="12"/>
    </row>
    <row r="260" spans="1:7" x14ac:dyDescent="0.3">
      <c r="A260" s="8"/>
      <c r="F260" s="12"/>
      <c r="G260" s="12"/>
    </row>
    <row r="261" spans="1:7" x14ac:dyDescent="0.3">
      <c r="A261" s="8"/>
      <c r="F261" s="12"/>
      <c r="G261" s="12"/>
    </row>
    <row r="262" spans="1:7" x14ac:dyDescent="0.3">
      <c r="A262" s="8"/>
      <c r="F262" s="12"/>
      <c r="G262" s="12"/>
    </row>
    <row r="263" spans="1:7" x14ac:dyDescent="0.3">
      <c r="A263" s="8"/>
      <c r="F263" s="12"/>
      <c r="G263" s="12"/>
    </row>
    <row r="264" spans="1:7" x14ac:dyDescent="0.3">
      <c r="A264" s="8"/>
      <c r="F264" s="12"/>
      <c r="G264" s="12"/>
    </row>
    <row r="265" spans="1:7" x14ac:dyDescent="0.3">
      <c r="A265" s="8"/>
      <c r="F265" s="12"/>
      <c r="G265" s="12"/>
    </row>
    <row r="266" spans="1:7" x14ac:dyDescent="0.3">
      <c r="A266" s="8"/>
      <c r="F266" s="12"/>
      <c r="G266" s="12"/>
    </row>
    <row r="267" spans="1:7" x14ac:dyDescent="0.3">
      <c r="A267" s="8"/>
      <c r="F267" s="12"/>
      <c r="G267" s="12"/>
    </row>
    <row r="268" spans="1:7" x14ac:dyDescent="0.3">
      <c r="A268" s="8"/>
      <c r="F268" s="12"/>
      <c r="G268" s="12"/>
    </row>
    <row r="269" spans="1:7" x14ac:dyDescent="0.3">
      <c r="A269" s="8"/>
      <c r="F269" s="12"/>
      <c r="G269" s="12"/>
    </row>
    <row r="270" spans="1:7" x14ac:dyDescent="0.3">
      <c r="A270" s="8"/>
      <c r="F270" s="12"/>
      <c r="G270" s="12"/>
    </row>
    <row r="271" spans="1:7" x14ac:dyDescent="0.3">
      <c r="A271" s="8"/>
      <c r="F271" s="12"/>
      <c r="G271" s="12"/>
    </row>
    <row r="272" spans="1:7" x14ac:dyDescent="0.3">
      <c r="A272" s="8"/>
      <c r="F272" s="12"/>
      <c r="G272" s="12"/>
    </row>
    <row r="273" spans="1:7" x14ac:dyDescent="0.3">
      <c r="A273" s="8"/>
      <c r="F273" s="12"/>
      <c r="G273" s="12"/>
    </row>
    <row r="274" spans="1:7" x14ac:dyDescent="0.3">
      <c r="A274" s="8"/>
      <c r="F274" s="12"/>
      <c r="G274" s="12"/>
    </row>
    <row r="275" spans="1:7" x14ac:dyDescent="0.3">
      <c r="A275" s="8"/>
      <c r="F275" s="12"/>
      <c r="G275" s="12"/>
    </row>
    <row r="276" spans="1:7" x14ac:dyDescent="0.3">
      <c r="A276" s="8"/>
      <c r="F276" s="12"/>
      <c r="G276" s="12"/>
    </row>
    <row r="277" spans="1:7" x14ac:dyDescent="0.3">
      <c r="A277" s="8"/>
      <c r="F277" s="12"/>
      <c r="G277" s="12"/>
    </row>
    <row r="278" spans="1:7" x14ac:dyDescent="0.3">
      <c r="A278" s="8"/>
      <c r="F278" s="12"/>
      <c r="G278" s="12"/>
    </row>
    <row r="279" spans="1:7" x14ac:dyDescent="0.3">
      <c r="A279" s="8"/>
      <c r="F279" s="12"/>
      <c r="G279" s="12"/>
    </row>
    <row r="280" spans="1:7" x14ac:dyDescent="0.3">
      <c r="A280" s="8"/>
      <c r="F280" s="12"/>
      <c r="G280" s="12"/>
    </row>
    <row r="281" spans="1:7" x14ac:dyDescent="0.3">
      <c r="A281" s="8"/>
      <c r="F281" s="12"/>
      <c r="G281" s="12"/>
    </row>
    <row r="282" spans="1:7" x14ac:dyDescent="0.3">
      <c r="A282" s="8"/>
      <c r="F282" s="12"/>
      <c r="G282" s="12"/>
    </row>
    <row r="283" spans="1:7" x14ac:dyDescent="0.3">
      <c r="A283" s="8"/>
      <c r="F283" s="12"/>
      <c r="G283" s="12"/>
    </row>
    <row r="284" spans="1:7" x14ac:dyDescent="0.3">
      <c r="A284" s="8"/>
      <c r="F284" s="12"/>
      <c r="G284" s="12"/>
    </row>
    <row r="285" spans="1:7" x14ac:dyDescent="0.3">
      <c r="A285" s="8"/>
      <c r="F285" s="12"/>
      <c r="G285" s="12"/>
    </row>
    <row r="286" spans="1:7" x14ac:dyDescent="0.3">
      <c r="A286" s="8"/>
      <c r="F286" s="12"/>
      <c r="G286" s="12"/>
    </row>
    <row r="287" spans="1:7" x14ac:dyDescent="0.3">
      <c r="A287" s="8"/>
      <c r="F287" s="12"/>
      <c r="G287" s="12"/>
    </row>
    <row r="288" spans="1:7" x14ac:dyDescent="0.3">
      <c r="A288" s="8"/>
      <c r="F288" s="12"/>
      <c r="G288" s="12"/>
    </row>
    <row r="289" spans="1:7" x14ac:dyDescent="0.3">
      <c r="A289" s="8"/>
      <c r="F289" s="12"/>
      <c r="G289" s="12"/>
    </row>
    <row r="290" spans="1:7" x14ac:dyDescent="0.3">
      <c r="A290" s="8"/>
      <c r="F290" s="12"/>
      <c r="G290" s="12"/>
    </row>
    <row r="291" spans="1:7" x14ac:dyDescent="0.3">
      <c r="A291" s="8"/>
      <c r="F291" s="12"/>
      <c r="G291" s="12"/>
    </row>
    <row r="292" spans="1:7" x14ac:dyDescent="0.3">
      <c r="A292" s="8"/>
      <c r="F292" s="12"/>
      <c r="G292" s="12"/>
    </row>
    <row r="293" spans="1:7" x14ac:dyDescent="0.3">
      <c r="A293" s="8"/>
      <c r="F293" s="12"/>
      <c r="G293" s="12"/>
    </row>
    <row r="294" spans="1:7" x14ac:dyDescent="0.3">
      <c r="A294" s="8"/>
      <c r="F294" s="12"/>
      <c r="G294" s="12"/>
    </row>
    <row r="295" spans="1:7" x14ac:dyDescent="0.3">
      <c r="A295" s="8"/>
      <c r="F295" s="12"/>
      <c r="G295" s="12"/>
    </row>
    <row r="296" spans="1:7" x14ac:dyDescent="0.3">
      <c r="A296" s="8"/>
      <c r="F296" s="12"/>
      <c r="G296" s="12"/>
    </row>
    <row r="297" spans="1:7" x14ac:dyDescent="0.3">
      <c r="A297" s="8"/>
      <c r="F297" s="12"/>
      <c r="G297" s="12"/>
    </row>
    <row r="298" spans="1:7" x14ac:dyDescent="0.3">
      <c r="A298" s="8"/>
      <c r="F298" s="12"/>
      <c r="G298" s="12"/>
    </row>
    <row r="299" spans="1:7" x14ac:dyDescent="0.3">
      <c r="A299" s="8"/>
      <c r="F299" s="12"/>
      <c r="G299" s="12"/>
    </row>
    <row r="300" spans="1:7" x14ac:dyDescent="0.3">
      <c r="A300" s="8"/>
      <c r="F300" s="12"/>
      <c r="G300" s="12"/>
    </row>
    <row r="301" spans="1:7" x14ac:dyDescent="0.3">
      <c r="A301" s="8"/>
      <c r="F301" s="12"/>
      <c r="G301" s="12"/>
    </row>
    <row r="302" spans="1:7" x14ac:dyDescent="0.3">
      <c r="A302" s="8"/>
      <c r="F302" s="12"/>
      <c r="G302" s="12"/>
    </row>
    <row r="303" spans="1:7" x14ac:dyDescent="0.3">
      <c r="A303" s="8"/>
      <c r="F303" s="12"/>
      <c r="G303" s="12"/>
    </row>
    <row r="304" spans="1:7" x14ac:dyDescent="0.3">
      <c r="A304" s="8"/>
      <c r="F304" s="12"/>
      <c r="G304" s="12"/>
    </row>
    <row r="305" spans="1:7" x14ac:dyDescent="0.3">
      <c r="A305" s="8"/>
      <c r="F305" s="12"/>
      <c r="G305" s="12"/>
    </row>
    <row r="306" spans="1:7" x14ac:dyDescent="0.3">
      <c r="A306" s="8"/>
      <c r="F306" s="12"/>
      <c r="G306" s="12"/>
    </row>
    <row r="307" spans="1:7" x14ac:dyDescent="0.3">
      <c r="A307" s="8"/>
      <c r="F307" s="12"/>
      <c r="G307" s="12"/>
    </row>
    <row r="308" spans="1:7" x14ac:dyDescent="0.3">
      <c r="A308" s="8"/>
      <c r="F308" s="12"/>
      <c r="G308" s="12"/>
    </row>
    <row r="309" spans="1:7" x14ac:dyDescent="0.3">
      <c r="A309" s="8"/>
      <c r="F309" s="12"/>
      <c r="G309" s="12"/>
    </row>
    <row r="310" spans="1:7" x14ac:dyDescent="0.3">
      <c r="A310" s="8"/>
      <c r="F310" s="12"/>
      <c r="G310" s="12"/>
    </row>
    <row r="311" spans="1:7" x14ac:dyDescent="0.3">
      <c r="A311" s="8"/>
      <c r="F311" s="12"/>
      <c r="G311" s="12"/>
    </row>
    <row r="312" spans="1:7" x14ac:dyDescent="0.3">
      <c r="A312" s="8"/>
      <c r="F312" s="12"/>
      <c r="G312" s="12"/>
    </row>
    <row r="313" spans="1:7" x14ac:dyDescent="0.3">
      <c r="A313" s="8"/>
      <c r="F313" s="12"/>
      <c r="G313" s="12"/>
    </row>
    <row r="314" spans="1:7" x14ac:dyDescent="0.3">
      <c r="A314" s="8"/>
      <c r="F314" s="12"/>
      <c r="G314" s="12"/>
    </row>
    <row r="315" spans="1:7" x14ac:dyDescent="0.3">
      <c r="A315" s="8"/>
      <c r="F315" s="12"/>
      <c r="G315" s="12"/>
    </row>
    <row r="316" spans="1:7" x14ac:dyDescent="0.3">
      <c r="A316" s="8"/>
      <c r="F316" s="12"/>
      <c r="G316" s="12"/>
    </row>
    <row r="317" spans="1:7" x14ac:dyDescent="0.3">
      <c r="A317" s="8"/>
      <c r="F317" s="12"/>
      <c r="G317" s="12"/>
    </row>
    <row r="318" spans="1:7" x14ac:dyDescent="0.3">
      <c r="A318" s="8"/>
      <c r="F318" s="12"/>
      <c r="G318" s="12"/>
    </row>
    <row r="319" spans="1:7" x14ac:dyDescent="0.3">
      <c r="A319" s="8"/>
      <c r="F319" s="12"/>
      <c r="G319" s="12"/>
    </row>
    <row r="320" spans="1:7" x14ac:dyDescent="0.3">
      <c r="A320" s="8"/>
      <c r="F320" s="12"/>
      <c r="G320" s="12"/>
    </row>
    <row r="321" spans="1:7" x14ac:dyDescent="0.3">
      <c r="A321" s="8"/>
      <c r="F321" s="12"/>
      <c r="G321" s="12"/>
    </row>
    <row r="322" spans="1:7" x14ac:dyDescent="0.3">
      <c r="A322" s="8"/>
      <c r="F322" s="12"/>
      <c r="G322" s="12"/>
    </row>
    <row r="323" spans="1:7" x14ac:dyDescent="0.3">
      <c r="A323" s="8"/>
      <c r="F323" s="12"/>
      <c r="G323" s="12"/>
    </row>
    <row r="324" spans="1:7" x14ac:dyDescent="0.3">
      <c r="A324" s="8"/>
      <c r="F324" s="12"/>
      <c r="G324" s="12"/>
    </row>
    <row r="325" spans="1:7" x14ac:dyDescent="0.3">
      <c r="A325" s="8"/>
      <c r="F325" s="12"/>
      <c r="G325" s="12"/>
    </row>
    <row r="326" spans="1:7" x14ac:dyDescent="0.3">
      <c r="A326" s="8"/>
      <c r="F326" s="12"/>
      <c r="G326" s="12"/>
    </row>
    <row r="327" spans="1:7" x14ac:dyDescent="0.3">
      <c r="A327" s="8"/>
      <c r="F327" s="12"/>
      <c r="G327" s="12"/>
    </row>
    <row r="328" spans="1:7" x14ac:dyDescent="0.3">
      <c r="A328" s="8"/>
      <c r="F328" s="12"/>
      <c r="G328" s="12"/>
    </row>
    <row r="329" spans="1:7" x14ac:dyDescent="0.3">
      <c r="A329" s="8"/>
      <c r="F329" s="12"/>
      <c r="G329" s="12"/>
    </row>
    <row r="330" spans="1:7" x14ac:dyDescent="0.3">
      <c r="A330" s="8"/>
      <c r="F330" s="12"/>
      <c r="G330" s="12"/>
    </row>
    <row r="331" spans="1:7" x14ac:dyDescent="0.3">
      <c r="A331" s="8"/>
      <c r="F331" s="12"/>
      <c r="G331" s="12"/>
    </row>
    <row r="332" spans="1:7" x14ac:dyDescent="0.3">
      <c r="A332" s="8"/>
      <c r="F332" s="12"/>
      <c r="G332" s="12"/>
    </row>
    <row r="333" spans="1:7" x14ac:dyDescent="0.3">
      <c r="A333" s="8"/>
      <c r="F333" s="12"/>
      <c r="G333" s="12"/>
    </row>
    <row r="334" spans="1:7" x14ac:dyDescent="0.3">
      <c r="A334" s="8"/>
      <c r="F334" s="12"/>
      <c r="G334" s="12"/>
    </row>
    <row r="335" spans="1:7" x14ac:dyDescent="0.3">
      <c r="A335" s="8"/>
      <c r="F335" s="12"/>
      <c r="G335" s="12"/>
    </row>
    <row r="336" spans="1:7" x14ac:dyDescent="0.3">
      <c r="A336" s="8"/>
      <c r="F336" s="12"/>
      <c r="G336" s="12"/>
    </row>
    <row r="337" spans="1:7" x14ac:dyDescent="0.3">
      <c r="A337" s="8"/>
      <c r="F337" s="12"/>
      <c r="G337" s="12"/>
    </row>
    <row r="338" spans="1:7" x14ac:dyDescent="0.3">
      <c r="A338" s="8"/>
      <c r="F338" s="12"/>
      <c r="G338" s="12"/>
    </row>
    <row r="339" spans="1:7" x14ac:dyDescent="0.3">
      <c r="A339" s="8"/>
      <c r="F339" s="12"/>
      <c r="G339" s="12"/>
    </row>
    <row r="340" spans="1:7" x14ac:dyDescent="0.3">
      <c r="A340" s="8"/>
      <c r="F340" s="12"/>
      <c r="G340" s="12"/>
    </row>
    <row r="341" spans="1:7" x14ac:dyDescent="0.3">
      <c r="A341" s="8"/>
      <c r="F341" s="12"/>
      <c r="G341" s="12"/>
    </row>
    <row r="342" spans="1:7" x14ac:dyDescent="0.3">
      <c r="A342" s="8"/>
      <c r="F342" s="12"/>
      <c r="G342" s="12"/>
    </row>
    <row r="343" spans="1:7" x14ac:dyDescent="0.3">
      <c r="A343" s="8"/>
      <c r="F343" s="12"/>
      <c r="G343" s="12"/>
    </row>
    <row r="344" spans="1:7" x14ac:dyDescent="0.3">
      <c r="A344" s="8"/>
      <c r="F344" s="12"/>
      <c r="G344" s="12"/>
    </row>
    <row r="345" spans="1:7" x14ac:dyDescent="0.3">
      <c r="A345" s="8"/>
      <c r="F345" s="12"/>
      <c r="G345" s="12"/>
    </row>
    <row r="346" spans="1:7" x14ac:dyDescent="0.3">
      <c r="A346" s="8"/>
      <c r="F346" s="12"/>
      <c r="G346" s="12"/>
    </row>
    <row r="347" spans="1:7" x14ac:dyDescent="0.3">
      <c r="A347" s="8"/>
      <c r="F347" s="12"/>
      <c r="G347" s="12"/>
    </row>
    <row r="348" spans="1:7" x14ac:dyDescent="0.3">
      <c r="A348" s="8"/>
      <c r="F348" s="12"/>
      <c r="G348" s="12"/>
    </row>
    <row r="349" spans="1:7" x14ac:dyDescent="0.3">
      <c r="A349" s="8"/>
      <c r="F349" s="12"/>
      <c r="G349" s="12"/>
    </row>
    <row r="350" spans="1:7" x14ac:dyDescent="0.3">
      <c r="A350" s="8"/>
      <c r="F350" s="12"/>
      <c r="G350" s="12"/>
    </row>
    <row r="351" spans="1:7" x14ac:dyDescent="0.3">
      <c r="A351" s="8"/>
      <c r="F351" s="12"/>
      <c r="G351" s="12"/>
    </row>
    <row r="352" spans="1:7" x14ac:dyDescent="0.3">
      <c r="A352" s="8"/>
      <c r="F352" s="12"/>
      <c r="G352" s="12"/>
    </row>
    <row r="353" spans="1:7" x14ac:dyDescent="0.3">
      <c r="A353" s="8"/>
      <c r="F353" s="12"/>
      <c r="G353" s="12"/>
    </row>
    <row r="354" spans="1:7" x14ac:dyDescent="0.3">
      <c r="A354" s="8"/>
      <c r="F354" s="12"/>
      <c r="G354" s="12"/>
    </row>
    <row r="355" spans="1:7" x14ac:dyDescent="0.3">
      <c r="A355" s="8"/>
      <c r="F355" s="12"/>
      <c r="G355" s="12"/>
    </row>
    <row r="356" spans="1:7" x14ac:dyDescent="0.3">
      <c r="A356" s="8"/>
      <c r="F356" s="12"/>
      <c r="G356" s="12"/>
    </row>
    <row r="357" spans="1:7" x14ac:dyDescent="0.3">
      <c r="A357" s="8"/>
      <c r="F357" s="12"/>
      <c r="G357" s="12"/>
    </row>
    <row r="358" spans="1:7" x14ac:dyDescent="0.3">
      <c r="A358" s="8"/>
      <c r="F358" s="12"/>
      <c r="G358" s="12"/>
    </row>
    <row r="359" spans="1:7" x14ac:dyDescent="0.3">
      <c r="A359" s="8"/>
      <c r="F359" s="12"/>
      <c r="G359" s="12"/>
    </row>
    <row r="360" spans="1:7" x14ac:dyDescent="0.3">
      <c r="A360" s="8"/>
      <c r="F360" s="12"/>
      <c r="G360" s="12"/>
    </row>
    <row r="361" spans="1:7" x14ac:dyDescent="0.3">
      <c r="A361" s="8"/>
      <c r="F361" s="12"/>
      <c r="G361" s="12"/>
    </row>
    <row r="362" spans="1:7" x14ac:dyDescent="0.3">
      <c r="A362" s="8"/>
      <c r="F362" s="12"/>
      <c r="G362" s="12"/>
    </row>
    <row r="363" spans="1:7" x14ac:dyDescent="0.3">
      <c r="A363" s="8"/>
      <c r="F363" s="12"/>
      <c r="G363" s="12"/>
    </row>
    <row r="364" spans="1:7" x14ac:dyDescent="0.3">
      <c r="A364" s="8"/>
      <c r="F364" s="12"/>
      <c r="G364" s="12"/>
    </row>
    <row r="365" spans="1:7" x14ac:dyDescent="0.3">
      <c r="A365" s="8"/>
      <c r="F365" s="12"/>
      <c r="G365" s="12"/>
    </row>
    <row r="366" spans="1:7" x14ac:dyDescent="0.3">
      <c r="A366" s="8"/>
      <c r="F366" s="12"/>
      <c r="G366" s="12"/>
    </row>
    <row r="367" spans="1:7" x14ac:dyDescent="0.3">
      <c r="A367" s="8"/>
      <c r="F367" s="12"/>
      <c r="G367" s="12"/>
    </row>
    <row r="368" spans="1:7" x14ac:dyDescent="0.3">
      <c r="A368" s="8"/>
      <c r="F368" s="12"/>
      <c r="G368" s="12"/>
    </row>
    <row r="369" spans="1:7" x14ac:dyDescent="0.3">
      <c r="A369" s="8"/>
      <c r="F369" s="12"/>
      <c r="G369" s="12"/>
    </row>
    <row r="370" spans="1:7" x14ac:dyDescent="0.3">
      <c r="A370" s="8"/>
      <c r="F370" s="12"/>
      <c r="G370" s="12"/>
    </row>
    <row r="371" spans="1:7" x14ac:dyDescent="0.3">
      <c r="A371" s="8"/>
      <c r="F371" s="12"/>
      <c r="G371" s="12"/>
    </row>
    <row r="372" spans="1:7" x14ac:dyDescent="0.3">
      <c r="A372" s="8"/>
      <c r="F372" s="12"/>
      <c r="G372" s="12"/>
    </row>
    <row r="373" spans="1:7" x14ac:dyDescent="0.3">
      <c r="A373" s="8"/>
      <c r="F373" s="12"/>
      <c r="G373" s="12"/>
    </row>
    <row r="374" spans="1:7" x14ac:dyDescent="0.3">
      <c r="A374" s="8"/>
      <c r="F374" s="12"/>
      <c r="G374" s="12"/>
    </row>
    <row r="375" spans="1:7" x14ac:dyDescent="0.3">
      <c r="A375" s="8"/>
      <c r="F375" s="12"/>
      <c r="G375" s="12"/>
    </row>
    <row r="376" spans="1:7" x14ac:dyDescent="0.3">
      <c r="A376" s="8"/>
      <c r="F376" s="12"/>
      <c r="G376" s="12"/>
    </row>
    <row r="377" spans="1:7" x14ac:dyDescent="0.3">
      <c r="A377" s="8"/>
      <c r="F377" s="12"/>
      <c r="G377" s="12"/>
    </row>
    <row r="378" spans="1:7" x14ac:dyDescent="0.3">
      <c r="A378" s="8"/>
      <c r="F378" s="12"/>
      <c r="G378" s="12"/>
    </row>
    <row r="379" spans="1:7" x14ac:dyDescent="0.3">
      <c r="A379" s="8"/>
      <c r="F379" s="12"/>
      <c r="G379" s="12"/>
    </row>
    <row r="380" spans="1:7" x14ac:dyDescent="0.3">
      <c r="A380" s="8"/>
      <c r="F380" s="12"/>
      <c r="G380" s="12"/>
    </row>
    <row r="381" spans="1:7" x14ac:dyDescent="0.3">
      <c r="A381" s="8"/>
      <c r="F381" s="12"/>
      <c r="G381" s="12"/>
    </row>
    <row r="382" spans="1:7" x14ac:dyDescent="0.3">
      <c r="A382" s="8"/>
      <c r="F382" s="12"/>
      <c r="G382" s="12"/>
    </row>
    <row r="383" spans="1:7" x14ac:dyDescent="0.3">
      <c r="A383" s="8"/>
      <c r="F383" s="12"/>
      <c r="G383" s="12"/>
    </row>
    <row r="384" spans="1:7" x14ac:dyDescent="0.3">
      <c r="A384" s="8"/>
      <c r="F384" s="12"/>
      <c r="G384" s="12"/>
    </row>
    <row r="385" spans="1:7" x14ac:dyDescent="0.3">
      <c r="A385" s="8"/>
      <c r="F385" s="12"/>
      <c r="G385" s="12"/>
    </row>
    <row r="386" spans="1:7" x14ac:dyDescent="0.3">
      <c r="A386" s="8"/>
      <c r="F386" s="12"/>
      <c r="G386" s="12"/>
    </row>
    <row r="387" spans="1:7" x14ac:dyDescent="0.3">
      <c r="A387" s="8"/>
      <c r="F387" s="12"/>
      <c r="G387" s="12"/>
    </row>
    <row r="388" spans="1:7" x14ac:dyDescent="0.3">
      <c r="A388" s="8"/>
      <c r="F388" s="12"/>
      <c r="G388" s="12"/>
    </row>
    <row r="389" spans="1:7" x14ac:dyDescent="0.3">
      <c r="A389" s="8"/>
      <c r="F389" s="12"/>
      <c r="G389" s="12"/>
    </row>
    <row r="390" spans="1:7" x14ac:dyDescent="0.3">
      <c r="A390" s="8"/>
      <c r="F390" s="12"/>
      <c r="G390" s="12"/>
    </row>
    <row r="391" spans="1:7" x14ac:dyDescent="0.3">
      <c r="A391" s="8"/>
      <c r="F391" s="12"/>
      <c r="G391" s="12"/>
    </row>
    <row r="392" spans="1:7" x14ac:dyDescent="0.3">
      <c r="A392" s="8"/>
      <c r="F392" s="12"/>
      <c r="G392" s="12"/>
    </row>
    <row r="393" spans="1:7" x14ac:dyDescent="0.3">
      <c r="A393" s="8"/>
      <c r="F393" s="12"/>
      <c r="G393" s="12"/>
    </row>
    <row r="394" spans="1:7" x14ac:dyDescent="0.3">
      <c r="A394" s="8"/>
      <c r="F394" s="12"/>
      <c r="G394" s="12"/>
    </row>
    <row r="395" spans="1:7" x14ac:dyDescent="0.3">
      <c r="A395" s="8"/>
      <c r="F395" s="12"/>
      <c r="G395" s="12"/>
    </row>
    <row r="396" spans="1:7" x14ac:dyDescent="0.3">
      <c r="A396" s="8"/>
      <c r="F396" s="12"/>
      <c r="G396" s="12"/>
    </row>
    <row r="397" spans="1:7" x14ac:dyDescent="0.3">
      <c r="A397" s="8"/>
      <c r="F397" s="12"/>
      <c r="G397" s="12"/>
    </row>
    <row r="398" spans="1:7" x14ac:dyDescent="0.3">
      <c r="A398" s="8"/>
      <c r="F398" s="12"/>
      <c r="G398" s="12"/>
    </row>
    <row r="399" spans="1:7" x14ac:dyDescent="0.3">
      <c r="A399" s="8"/>
      <c r="F399" s="12"/>
      <c r="G399" s="12"/>
    </row>
    <row r="400" spans="1:7" x14ac:dyDescent="0.3">
      <c r="A400" s="8"/>
      <c r="F400" s="12"/>
      <c r="G400" s="12"/>
    </row>
    <row r="401" spans="1:7" x14ac:dyDescent="0.3">
      <c r="A401" s="8"/>
      <c r="F401" s="12"/>
      <c r="G401" s="12"/>
    </row>
    <row r="402" spans="1:7" x14ac:dyDescent="0.3">
      <c r="A402" s="8"/>
      <c r="F402" s="12"/>
      <c r="G402" s="12"/>
    </row>
    <row r="403" spans="1:7" x14ac:dyDescent="0.3">
      <c r="A403" s="8"/>
      <c r="F403" s="12"/>
      <c r="G403" s="12"/>
    </row>
    <row r="404" spans="1:7" x14ac:dyDescent="0.3">
      <c r="A404" s="8"/>
      <c r="F404" s="12"/>
      <c r="G404" s="12"/>
    </row>
    <row r="405" spans="1:7" x14ac:dyDescent="0.3">
      <c r="A405" s="8"/>
      <c r="F405" s="12"/>
      <c r="G405" s="12"/>
    </row>
    <row r="406" spans="1:7" x14ac:dyDescent="0.3">
      <c r="A406" s="8"/>
      <c r="F406" s="12"/>
      <c r="G406" s="12"/>
    </row>
    <row r="407" spans="1:7" x14ac:dyDescent="0.3">
      <c r="A407" s="8"/>
      <c r="F407" s="12"/>
      <c r="G407" s="12"/>
    </row>
    <row r="408" spans="1:7" x14ac:dyDescent="0.3">
      <c r="A408" s="8"/>
    </row>
    <row r="409" spans="1:7" x14ac:dyDescent="0.3">
      <c r="A409" s="8"/>
    </row>
    <row r="410" spans="1:7" x14ac:dyDescent="0.3">
      <c r="A410" s="8"/>
    </row>
    <row r="411" spans="1:7" x14ac:dyDescent="0.3">
      <c r="A411" s="8"/>
    </row>
    <row r="412" spans="1:7" x14ac:dyDescent="0.3">
      <c r="A412" s="8"/>
    </row>
    <row r="413" spans="1:7" x14ac:dyDescent="0.3">
      <c r="A413" s="8"/>
    </row>
    <row r="414" spans="1:7" x14ac:dyDescent="0.3">
      <c r="A414" s="8"/>
    </row>
    <row r="415" spans="1:7" x14ac:dyDescent="0.3">
      <c r="A415" s="8"/>
    </row>
    <row r="416" spans="1:7" x14ac:dyDescent="0.3">
      <c r="A416" s="8"/>
    </row>
    <row r="417" spans="1:1" x14ac:dyDescent="0.3">
      <c r="A417" s="8"/>
    </row>
    <row r="418" spans="1:1" x14ac:dyDescent="0.3">
      <c r="A418" s="8"/>
    </row>
    <row r="419" spans="1:1" x14ac:dyDescent="0.3">
      <c r="A419" s="8"/>
    </row>
    <row r="420" spans="1:1" x14ac:dyDescent="0.3">
      <c r="A420" s="8"/>
    </row>
    <row r="421" spans="1:1" x14ac:dyDescent="0.3">
      <c r="A421" s="8"/>
    </row>
    <row r="422" spans="1:1" x14ac:dyDescent="0.3">
      <c r="A422" s="8"/>
    </row>
    <row r="423" spans="1:1" x14ac:dyDescent="0.3">
      <c r="A423" s="8"/>
    </row>
    <row r="424" spans="1:1" x14ac:dyDescent="0.3">
      <c r="A424" s="8"/>
    </row>
    <row r="425" spans="1:1" x14ac:dyDescent="0.3">
      <c r="A425" s="8"/>
    </row>
    <row r="426" spans="1:1" x14ac:dyDescent="0.3">
      <c r="A426" s="8"/>
    </row>
    <row r="427" spans="1:1" x14ac:dyDescent="0.3">
      <c r="A427" s="8"/>
    </row>
    <row r="428" spans="1:1" x14ac:dyDescent="0.3">
      <c r="A428" s="8"/>
    </row>
    <row r="429" spans="1:1" x14ac:dyDescent="0.3">
      <c r="A429" s="8"/>
    </row>
    <row r="430" spans="1:1" x14ac:dyDescent="0.3">
      <c r="A430" s="8"/>
    </row>
    <row r="431" spans="1:1" x14ac:dyDescent="0.3">
      <c r="A431" s="8"/>
    </row>
    <row r="432" spans="1:1" x14ac:dyDescent="0.3">
      <c r="A432" s="8"/>
    </row>
    <row r="433" spans="1:1" x14ac:dyDescent="0.3">
      <c r="A433" s="8"/>
    </row>
    <row r="434" spans="1:1" x14ac:dyDescent="0.3">
      <c r="A434" s="8"/>
    </row>
    <row r="435" spans="1:1" x14ac:dyDescent="0.3">
      <c r="A435" s="8"/>
    </row>
    <row r="436" spans="1:1" x14ac:dyDescent="0.3">
      <c r="A436" s="8"/>
    </row>
    <row r="437" spans="1:1" x14ac:dyDescent="0.3">
      <c r="A437" s="8"/>
    </row>
    <row r="438" spans="1:1" x14ac:dyDescent="0.3">
      <c r="A438" s="8"/>
    </row>
    <row r="439" spans="1:1" x14ac:dyDescent="0.3">
      <c r="A439" s="8"/>
    </row>
    <row r="440" spans="1:1" x14ac:dyDescent="0.3">
      <c r="A440" s="8"/>
    </row>
    <row r="441" spans="1:1" x14ac:dyDescent="0.3">
      <c r="A441" s="8"/>
    </row>
    <row r="442" spans="1:1" x14ac:dyDescent="0.3">
      <c r="A442" s="8"/>
    </row>
    <row r="443" spans="1:1" x14ac:dyDescent="0.3">
      <c r="A443" s="8"/>
    </row>
    <row r="444" spans="1:1" x14ac:dyDescent="0.3">
      <c r="A444" s="8"/>
    </row>
    <row r="445" spans="1:1" x14ac:dyDescent="0.3">
      <c r="A445" s="8"/>
    </row>
    <row r="446" spans="1:1" x14ac:dyDescent="0.3">
      <c r="A446" s="8"/>
    </row>
    <row r="447" spans="1:1" x14ac:dyDescent="0.3">
      <c r="A447" s="8"/>
    </row>
    <row r="448" spans="1:1" x14ac:dyDescent="0.3">
      <c r="A448" s="8"/>
    </row>
    <row r="449" spans="1:1" x14ac:dyDescent="0.3">
      <c r="A449" s="8"/>
    </row>
    <row r="450" spans="1:1" x14ac:dyDescent="0.3">
      <c r="A450" s="8"/>
    </row>
    <row r="451" spans="1:1" x14ac:dyDescent="0.3">
      <c r="A451" s="8"/>
    </row>
    <row r="452" spans="1:1" x14ac:dyDescent="0.3">
      <c r="A452" s="8"/>
    </row>
    <row r="453" spans="1:1" x14ac:dyDescent="0.3">
      <c r="A453" s="8"/>
    </row>
    <row r="454" spans="1:1" x14ac:dyDescent="0.3">
      <c r="A454" s="8"/>
    </row>
    <row r="455" spans="1:1" x14ac:dyDescent="0.3">
      <c r="A455" s="8"/>
    </row>
    <row r="456" spans="1:1" x14ac:dyDescent="0.3">
      <c r="A456" s="8"/>
    </row>
    <row r="457" spans="1:1" x14ac:dyDescent="0.3">
      <c r="A457" s="8"/>
    </row>
    <row r="458" spans="1:1" x14ac:dyDescent="0.3">
      <c r="A458" s="8"/>
    </row>
    <row r="459" spans="1:1" x14ac:dyDescent="0.3">
      <c r="A459" s="8"/>
    </row>
    <row r="460" spans="1:1" x14ac:dyDescent="0.3">
      <c r="A460" s="8"/>
    </row>
    <row r="461" spans="1:1" x14ac:dyDescent="0.3">
      <c r="A461" s="8"/>
    </row>
    <row r="462" spans="1:1" x14ac:dyDescent="0.3">
      <c r="A462" s="8"/>
    </row>
    <row r="463" spans="1:1" x14ac:dyDescent="0.3">
      <c r="A463" s="8"/>
    </row>
    <row r="464" spans="1:1" x14ac:dyDescent="0.3">
      <c r="A464" s="8"/>
    </row>
    <row r="465" spans="1:1" x14ac:dyDescent="0.3">
      <c r="A465" s="8"/>
    </row>
    <row r="466" spans="1:1" x14ac:dyDescent="0.3">
      <c r="A466" s="8"/>
    </row>
    <row r="467" spans="1:1" x14ac:dyDescent="0.3">
      <c r="A467" s="8"/>
    </row>
    <row r="468" spans="1:1" x14ac:dyDescent="0.3">
      <c r="A468" s="8"/>
    </row>
    <row r="469" spans="1:1" x14ac:dyDescent="0.3">
      <c r="A469" s="8"/>
    </row>
    <row r="470" spans="1:1" x14ac:dyDescent="0.3">
      <c r="A470" s="8"/>
    </row>
    <row r="471" spans="1:1" x14ac:dyDescent="0.3">
      <c r="A471" s="8"/>
    </row>
    <row r="472" spans="1:1" x14ac:dyDescent="0.3">
      <c r="A472" s="8"/>
    </row>
    <row r="473" spans="1:1" x14ac:dyDescent="0.3">
      <c r="A473" s="8"/>
    </row>
    <row r="474" spans="1:1" x14ac:dyDescent="0.3">
      <c r="A474" s="8"/>
    </row>
    <row r="475" spans="1:1" x14ac:dyDescent="0.3">
      <c r="A475" s="8"/>
    </row>
    <row r="476" spans="1:1" x14ac:dyDescent="0.3">
      <c r="A476" s="8"/>
    </row>
    <row r="477" spans="1:1" x14ac:dyDescent="0.3">
      <c r="A477" s="8"/>
    </row>
    <row r="478" spans="1:1" x14ac:dyDescent="0.3">
      <c r="A478" s="8"/>
    </row>
    <row r="479" spans="1:1" x14ac:dyDescent="0.3">
      <c r="A479" s="8"/>
    </row>
    <row r="480" spans="1:1" x14ac:dyDescent="0.3">
      <c r="A480" s="8"/>
    </row>
    <row r="481" spans="1:1" x14ac:dyDescent="0.3">
      <c r="A481" s="8"/>
    </row>
    <row r="482" spans="1:1" x14ac:dyDescent="0.3">
      <c r="A482" s="8"/>
    </row>
    <row r="483" spans="1:1" x14ac:dyDescent="0.3">
      <c r="A483" s="8"/>
    </row>
    <row r="484" spans="1:1" x14ac:dyDescent="0.3">
      <c r="A484" s="8"/>
    </row>
    <row r="485" spans="1:1" x14ac:dyDescent="0.3">
      <c r="A485" s="8"/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82"/>
  <sheetViews>
    <sheetView workbookViewId="0">
      <selection activeCell="A12" sqref="A12"/>
    </sheetView>
  </sheetViews>
  <sheetFormatPr defaultRowHeight="15" x14ac:dyDescent="0.35"/>
  <cols>
    <col min="1" max="2" width="8.7265625" style="18"/>
    <col min="3" max="3" width="38.6328125" style="18" customWidth="1"/>
    <col min="4" max="4" width="38" style="18" customWidth="1"/>
    <col min="5" max="16384" width="8.7265625" style="18"/>
  </cols>
  <sheetData>
    <row r="1" spans="3:4" ht="45" customHeight="1" x14ac:dyDescent="0.35">
      <c r="C1" s="17" t="s">
        <v>238</v>
      </c>
      <c r="D1" s="19" t="s">
        <v>244</v>
      </c>
    </row>
    <row r="2" spans="3:4" ht="20" customHeight="1" x14ac:dyDescent="0.35">
      <c r="C2" s="28">
        <v>665</v>
      </c>
      <c r="D2" s="28">
        <v>1052</v>
      </c>
    </row>
    <row r="3" spans="3:4" ht="20" customHeight="1" x14ac:dyDescent="0.35">
      <c r="C3" s="28">
        <v>410</v>
      </c>
      <c r="D3" s="28">
        <v>1332</v>
      </c>
    </row>
    <row r="4" spans="3:4" ht="20" customHeight="1" x14ac:dyDescent="0.35">
      <c r="C4" s="28">
        <v>251</v>
      </c>
      <c r="D4" s="28">
        <v>1959</v>
      </c>
    </row>
    <row r="5" spans="3:4" ht="20" customHeight="1" x14ac:dyDescent="0.35">
      <c r="C5" s="28">
        <v>183</v>
      </c>
      <c r="D5" s="28">
        <v>5191</v>
      </c>
    </row>
    <row r="6" spans="3:4" ht="20" customHeight="1" x14ac:dyDescent="0.35">
      <c r="C6" s="29">
        <v>727</v>
      </c>
      <c r="D6" s="28">
        <v>1939</v>
      </c>
    </row>
    <row r="7" spans="3:4" ht="20" customHeight="1" x14ac:dyDescent="0.35">
      <c r="C7" s="29">
        <v>1406</v>
      </c>
      <c r="D7" s="29">
        <v>9209</v>
      </c>
    </row>
    <row r="8" spans="3:4" ht="20" customHeight="1" x14ac:dyDescent="0.35">
      <c r="C8" s="28">
        <v>229</v>
      </c>
      <c r="D8" s="29">
        <v>752</v>
      </c>
    </row>
    <row r="9" spans="3:4" ht="20" customHeight="1" x14ac:dyDescent="0.35">
      <c r="C9" s="28">
        <v>752</v>
      </c>
      <c r="D9" s="29">
        <v>1017</v>
      </c>
    </row>
    <row r="10" spans="3:4" ht="20" customHeight="1" x14ac:dyDescent="0.35">
      <c r="C10" s="28">
        <v>133</v>
      </c>
      <c r="D10" s="29">
        <v>1940</v>
      </c>
    </row>
    <row r="11" spans="3:4" ht="20" customHeight="1" x14ac:dyDescent="0.35">
      <c r="C11" s="29">
        <v>156</v>
      </c>
      <c r="D11" s="29">
        <v>1017</v>
      </c>
    </row>
    <row r="12" spans="3:4" ht="20" customHeight="1" x14ac:dyDescent="0.35">
      <c r="C12" s="29">
        <v>986</v>
      </c>
      <c r="D12" s="29">
        <v>1940</v>
      </c>
    </row>
    <row r="13" spans="3:4" ht="20" customHeight="1" x14ac:dyDescent="0.35">
      <c r="C13" s="28">
        <v>1917</v>
      </c>
      <c r="D13" s="29">
        <v>156</v>
      </c>
    </row>
    <row r="14" spans="3:4" ht="20" customHeight="1" x14ac:dyDescent="0.35">
      <c r="C14" s="28">
        <v>708</v>
      </c>
      <c r="D14" s="29">
        <v>986</v>
      </c>
    </row>
    <row r="15" spans="3:4" ht="20" customHeight="1" x14ac:dyDescent="0.35">
      <c r="C15" s="28">
        <v>906</v>
      </c>
      <c r="D15" s="28">
        <v>2994</v>
      </c>
    </row>
    <row r="16" spans="3:4" ht="20" customHeight="1" x14ac:dyDescent="0.35">
      <c r="C16" s="28">
        <v>2950</v>
      </c>
      <c r="D16" s="28">
        <v>9253</v>
      </c>
    </row>
    <row r="17" spans="3:4" ht="20" customHeight="1" x14ac:dyDescent="0.35">
      <c r="C17" s="28">
        <v>421</v>
      </c>
      <c r="D17" s="28">
        <v>906</v>
      </c>
    </row>
    <row r="18" spans="3:4" ht="20" customHeight="1" x14ac:dyDescent="0.35">
      <c r="C18" s="28">
        <v>647</v>
      </c>
      <c r="D18" s="28">
        <v>887</v>
      </c>
    </row>
    <row r="19" spans="3:4" ht="20" customHeight="1" x14ac:dyDescent="0.35">
      <c r="C19" s="29">
        <v>1172</v>
      </c>
      <c r="D19" s="28">
        <v>2950</v>
      </c>
    </row>
    <row r="20" spans="3:4" ht="20" customHeight="1" x14ac:dyDescent="0.35">
      <c r="C20" s="29">
        <v>1395</v>
      </c>
      <c r="D20" s="28">
        <v>988</v>
      </c>
    </row>
    <row r="21" spans="3:4" ht="20" customHeight="1" x14ac:dyDescent="0.35">
      <c r="C21" s="29">
        <v>3253</v>
      </c>
      <c r="D21" s="28">
        <v>1231</v>
      </c>
    </row>
    <row r="22" spans="3:4" ht="20" customHeight="1" x14ac:dyDescent="0.35">
      <c r="C22" s="29">
        <v>661</v>
      </c>
      <c r="D22" s="29">
        <v>40588</v>
      </c>
    </row>
    <row r="23" spans="3:4" ht="20" customHeight="1" x14ac:dyDescent="0.35">
      <c r="C23" s="29">
        <v>1149</v>
      </c>
      <c r="D23" s="29">
        <v>1172</v>
      </c>
    </row>
    <row r="24" spans="3:4" ht="20" customHeight="1" x14ac:dyDescent="0.35">
      <c r="C24" s="28">
        <v>716</v>
      </c>
      <c r="D24" s="29">
        <v>1395</v>
      </c>
    </row>
    <row r="25" spans="3:4" ht="20" customHeight="1" x14ac:dyDescent="0.35">
      <c r="C25" s="28">
        <v>3259</v>
      </c>
      <c r="D25" s="29">
        <v>3253</v>
      </c>
    </row>
    <row r="26" spans="3:4" ht="20" customHeight="1" x14ac:dyDescent="0.35">
      <c r="C26" s="29">
        <v>968</v>
      </c>
      <c r="D26" s="29">
        <v>661</v>
      </c>
    </row>
    <row r="27" spans="3:4" ht="20" customHeight="1" x14ac:dyDescent="0.35">
      <c r="C27" s="29">
        <v>2402</v>
      </c>
      <c r="D27" s="29">
        <v>3091</v>
      </c>
    </row>
    <row r="28" spans="3:4" ht="20" customHeight="1" x14ac:dyDescent="0.35">
      <c r="C28" s="29">
        <v>975</v>
      </c>
      <c r="D28" s="29">
        <v>1149</v>
      </c>
    </row>
    <row r="29" spans="3:4" ht="20" customHeight="1" x14ac:dyDescent="0.35">
      <c r="C29" s="29">
        <v>759</v>
      </c>
      <c r="D29" s="28">
        <v>3259</v>
      </c>
    </row>
    <row r="30" spans="3:4" ht="20" customHeight="1" x14ac:dyDescent="0.35">
      <c r="C30" s="29">
        <v>908</v>
      </c>
      <c r="D30" s="29">
        <v>2402</v>
      </c>
    </row>
    <row r="31" spans="3:4" ht="20" customHeight="1" x14ac:dyDescent="0.35">
      <c r="C31" s="29">
        <v>911</v>
      </c>
      <c r="D31" s="29">
        <v>1054</v>
      </c>
    </row>
    <row r="32" spans="3:4" ht="20" customHeight="1" x14ac:dyDescent="0.35">
      <c r="C32" s="29">
        <v>1757</v>
      </c>
      <c r="D32" s="29">
        <v>1972</v>
      </c>
    </row>
    <row r="33" spans="3:4" ht="20" customHeight="1" x14ac:dyDescent="0.35">
      <c r="C33" s="29">
        <v>3381</v>
      </c>
      <c r="D33" s="29">
        <v>11085</v>
      </c>
    </row>
    <row r="34" spans="3:4" ht="20" customHeight="1" x14ac:dyDescent="0.35">
      <c r="C34" s="29">
        <v>1767</v>
      </c>
      <c r="D34" s="29">
        <v>862</v>
      </c>
    </row>
    <row r="35" spans="3:4" ht="20" customHeight="1" x14ac:dyDescent="0.35">
      <c r="C35" s="28">
        <v>1145</v>
      </c>
      <c r="D35" s="29">
        <v>1013</v>
      </c>
    </row>
    <row r="36" spans="3:4" ht="20" customHeight="1" x14ac:dyDescent="0.35">
      <c r="C36" s="29">
        <v>860</v>
      </c>
      <c r="D36" s="29">
        <v>975</v>
      </c>
    </row>
    <row r="37" spans="3:4" ht="20" customHeight="1" x14ac:dyDescent="0.35">
      <c r="C37" s="29">
        <v>742</v>
      </c>
      <c r="D37" s="29">
        <v>759</v>
      </c>
    </row>
    <row r="38" spans="3:4" ht="20" customHeight="1" x14ac:dyDescent="0.35">
      <c r="C38" s="29">
        <v>2253</v>
      </c>
      <c r="D38" s="29">
        <v>911</v>
      </c>
    </row>
    <row r="39" spans="3:4" ht="20" customHeight="1" x14ac:dyDescent="0.35">
      <c r="C39" s="29">
        <v>1408</v>
      </c>
      <c r="D39" s="29">
        <v>1757</v>
      </c>
    </row>
    <row r="40" spans="3:4" ht="20" customHeight="1" x14ac:dyDescent="0.35">
      <c r="C40" s="29">
        <v>752</v>
      </c>
      <c r="D40" s="29">
        <v>3381</v>
      </c>
    </row>
    <row r="41" spans="3:4" ht="20" customHeight="1" x14ac:dyDescent="0.35">
      <c r="C41" s="29">
        <v>1243</v>
      </c>
      <c r="D41" s="29">
        <v>1767</v>
      </c>
    </row>
    <row r="42" spans="3:4" ht="20" customHeight="1" x14ac:dyDescent="0.35">
      <c r="C42" s="29">
        <v>2274</v>
      </c>
      <c r="D42" s="29">
        <v>1291</v>
      </c>
    </row>
    <row r="43" spans="3:4" ht="20" customHeight="1" x14ac:dyDescent="0.35">
      <c r="C43" s="29">
        <v>1012</v>
      </c>
      <c r="D43" s="28">
        <v>1607</v>
      </c>
    </row>
    <row r="44" spans="3:4" ht="20" customHeight="1" x14ac:dyDescent="0.35">
      <c r="C44" s="29">
        <v>973</v>
      </c>
      <c r="D44" s="28">
        <v>1145</v>
      </c>
    </row>
    <row r="45" spans="3:4" ht="20" customHeight="1" x14ac:dyDescent="0.35">
      <c r="C45" s="29">
        <v>3767</v>
      </c>
      <c r="D45" s="29">
        <v>193</v>
      </c>
    </row>
    <row r="46" spans="3:4" ht="20" customHeight="1" x14ac:dyDescent="0.35">
      <c r="C46" s="29">
        <v>112</v>
      </c>
      <c r="D46" s="29">
        <v>2224</v>
      </c>
    </row>
    <row r="47" spans="3:4" ht="20" customHeight="1" x14ac:dyDescent="0.35">
      <c r="C47" s="29">
        <v>159</v>
      </c>
      <c r="D47" s="29">
        <v>742</v>
      </c>
    </row>
    <row r="48" spans="3:4" ht="20" customHeight="1" x14ac:dyDescent="0.35">
      <c r="C48" s="29">
        <v>354</v>
      </c>
      <c r="D48" s="29">
        <v>16082</v>
      </c>
    </row>
    <row r="49" spans="3:12" ht="20" customHeight="1" x14ac:dyDescent="0.35">
      <c r="C49" s="29">
        <v>58</v>
      </c>
      <c r="D49" s="29">
        <v>1790</v>
      </c>
    </row>
    <row r="50" spans="3:12" ht="20" customHeight="1" x14ac:dyDescent="0.35">
      <c r="C50" s="29">
        <v>604</v>
      </c>
      <c r="D50" s="29">
        <v>3960</v>
      </c>
    </row>
    <row r="51" spans="3:12" ht="20" customHeight="1" x14ac:dyDescent="0.35">
      <c r="C51" s="28">
        <v>734</v>
      </c>
      <c r="D51" s="29">
        <v>1243</v>
      </c>
    </row>
    <row r="52" spans="3:12" ht="20" customHeight="1" x14ac:dyDescent="0.35">
      <c r="C52" s="28">
        <v>182</v>
      </c>
      <c r="D52" s="29">
        <v>2274</v>
      </c>
    </row>
    <row r="53" spans="3:12" ht="20" customHeight="1" x14ac:dyDescent="0.35">
      <c r="C53" s="28">
        <v>574</v>
      </c>
      <c r="D53" s="28">
        <v>3767</v>
      </c>
      <c r="L53" s="28"/>
    </row>
    <row r="54" spans="3:12" ht="20" customHeight="1" x14ac:dyDescent="0.35">
      <c r="C54" s="29">
        <v>299</v>
      </c>
      <c r="D54" s="22">
        <v>159</v>
      </c>
    </row>
    <row r="55" spans="3:12" ht="20" customHeight="1" x14ac:dyDescent="0.35">
      <c r="C55" s="29">
        <v>2264</v>
      </c>
      <c r="D55" s="22">
        <v>354</v>
      </c>
    </row>
    <row r="56" spans="3:12" ht="20" customHeight="1" x14ac:dyDescent="0.35">
      <c r="C56" s="28">
        <v>2709</v>
      </c>
      <c r="D56" s="22">
        <v>58</v>
      </c>
    </row>
    <row r="57" spans="3:12" ht="20" customHeight="1" x14ac:dyDescent="0.35">
      <c r="C57" s="28">
        <v>2006</v>
      </c>
      <c r="D57" s="22">
        <v>604</v>
      </c>
    </row>
    <row r="58" spans="3:12" ht="20" customHeight="1" x14ac:dyDescent="0.35">
      <c r="C58" s="28">
        <v>433</v>
      </c>
      <c r="D58" s="28">
        <v>182</v>
      </c>
    </row>
    <row r="59" spans="3:12" ht="20" customHeight="1" x14ac:dyDescent="0.35">
      <c r="C59" s="29">
        <v>2229</v>
      </c>
      <c r="D59" s="28">
        <v>1730</v>
      </c>
    </row>
    <row r="60" spans="3:12" ht="20" customHeight="1" x14ac:dyDescent="0.35">
      <c r="C60" s="29">
        <v>315</v>
      </c>
      <c r="D60" s="28">
        <v>574</v>
      </c>
    </row>
    <row r="61" spans="3:12" ht="20" customHeight="1" x14ac:dyDescent="0.35">
      <c r="C61" s="29">
        <v>787</v>
      </c>
      <c r="D61" s="29">
        <v>299</v>
      </c>
    </row>
    <row r="62" spans="3:12" ht="20" customHeight="1" x14ac:dyDescent="0.35">
      <c r="C62" s="29">
        <v>411</v>
      </c>
      <c r="D62" s="29">
        <v>2264</v>
      </c>
    </row>
    <row r="63" spans="3:12" ht="20" customHeight="1" x14ac:dyDescent="0.35">
      <c r="C63" s="29">
        <v>723</v>
      </c>
      <c r="D63" s="28">
        <v>9363</v>
      </c>
    </row>
    <row r="64" spans="3:12" ht="20" customHeight="1" x14ac:dyDescent="0.35">
      <c r="C64" s="29">
        <v>405</v>
      </c>
      <c r="D64" s="29">
        <v>2709</v>
      </c>
    </row>
    <row r="65" spans="3:4" ht="20" customHeight="1" x14ac:dyDescent="0.35">
      <c r="C65" s="29">
        <v>4235</v>
      </c>
      <c r="D65" s="29">
        <v>2006</v>
      </c>
    </row>
    <row r="66" spans="3:4" ht="20" customHeight="1" x14ac:dyDescent="0.35">
      <c r="C66" s="29">
        <v>2190</v>
      </c>
      <c r="D66" s="29">
        <v>4132</v>
      </c>
    </row>
    <row r="67" spans="3:4" ht="20" customHeight="1" x14ac:dyDescent="0.35">
      <c r="C67" s="28">
        <v>377</v>
      </c>
      <c r="D67" s="29">
        <v>433</v>
      </c>
    </row>
    <row r="68" spans="3:4" ht="20" customHeight="1" x14ac:dyDescent="0.35">
      <c r="C68" s="29">
        <v>124</v>
      </c>
      <c r="D68" s="29">
        <v>529</v>
      </c>
    </row>
    <row r="69" spans="3:4" ht="20" customHeight="1" x14ac:dyDescent="0.35">
      <c r="C69" s="29">
        <v>709</v>
      </c>
      <c r="D69" s="29">
        <v>1652</v>
      </c>
    </row>
    <row r="70" spans="3:4" ht="20" customHeight="1" x14ac:dyDescent="0.35">
      <c r="C70" s="29">
        <v>76</v>
      </c>
      <c r="D70" s="29">
        <v>2229</v>
      </c>
    </row>
    <row r="71" spans="3:4" ht="20" customHeight="1" x14ac:dyDescent="0.35">
      <c r="C71" s="29">
        <v>1101</v>
      </c>
      <c r="D71" s="29">
        <v>315</v>
      </c>
    </row>
    <row r="72" spans="3:4" ht="20" customHeight="1" x14ac:dyDescent="0.35">
      <c r="C72" s="29">
        <v>1430</v>
      </c>
      <c r="D72" s="28">
        <v>411</v>
      </c>
    </row>
    <row r="73" spans="3:4" ht="20" customHeight="1" x14ac:dyDescent="0.35">
      <c r="C73" s="29">
        <v>611</v>
      </c>
      <c r="D73" s="29">
        <v>405</v>
      </c>
    </row>
    <row r="74" spans="3:4" ht="20" customHeight="1" x14ac:dyDescent="0.35">
      <c r="C74" s="29">
        <v>1135</v>
      </c>
      <c r="D74" s="29">
        <v>4235</v>
      </c>
    </row>
    <row r="75" spans="3:4" ht="20" customHeight="1" x14ac:dyDescent="0.35">
      <c r="C75" s="29">
        <v>3434</v>
      </c>
      <c r="D75" s="29">
        <v>2190</v>
      </c>
    </row>
    <row r="76" spans="3:4" ht="20" customHeight="1" x14ac:dyDescent="0.35">
      <c r="C76" s="28">
        <v>3932</v>
      </c>
      <c r="D76" s="29">
        <v>999</v>
      </c>
    </row>
    <row r="77" spans="3:4" ht="20" customHeight="1" x14ac:dyDescent="0.35">
      <c r="C77" s="29">
        <v>1141</v>
      </c>
      <c r="D77" s="28">
        <v>709</v>
      </c>
    </row>
    <row r="78" spans="3:4" ht="20" customHeight="1" x14ac:dyDescent="0.35">
      <c r="C78" s="29">
        <v>873</v>
      </c>
      <c r="D78" s="28">
        <v>1101</v>
      </c>
    </row>
    <row r="79" spans="3:4" ht="20" customHeight="1" x14ac:dyDescent="0.35">
      <c r="C79" s="29">
        <v>5535</v>
      </c>
      <c r="D79" s="29">
        <v>611</v>
      </c>
    </row>
    <row r="80" spans="3:4" ht="20" customHeight="1" x14ac:dyDescent="0.35">
      <c r="C80" s="29">
        <v>1480</v>
      </c>
      <c r="D80" s="29">
        <v>1560</v>
      </c>
    </row>
    <row r="81" spans="3:4" ht="20" customHeight="1" x14ac:dyDescent="0.35">
      <c r="C81" s="28">
        <v>3817</v>
      </c>
      <c r="D81" s="29">
        <v>1135</v>
      </c>
    </row>
    <row r="82" spans="3:4" ht="20" customHeight="1" x14ac:dyDescent="0.35">
      <c r="C82" s="28">
        <v>147</v>
      </c>
      <c r="D82" s="29">
        <v>3434</v>
      </c>
    </row>
    <row r="83" spans="3:4" ht="20" customHeight="1" x14ac:dyDescent="0.35">
      <c r="C83" s="28">
        <v>451</v>
      </c>
      <c r="D83" s="29">
        <v>161</v>
      </c>
    </row>
    <row r="84" spans="3:4" ht="20" customHeight="1" x14ac:dyDescent="0.35">
      <c r="C84" s="28">
        <v>1293</v>
      </c>
      <c r="D84" s="29">
        <v>3932</v>
      </c>
    </row>
    <row r="85" spans="3:4" ht="20" customHeight="1" x14ac:dyDescent="0.35">
      <c r="C85" s="29">
        <v>3200</v>
      </c>
      <c r="D85" s="29">
        <v>738</v>
      </c>
    </row>
    <row r="86" spans="3:4" ht="20" customHeight="1" x14ac:dyDescent="0.35">
      <c r="C86" s="29">
        <v>111</v>
      </c>
      <c r="D86" s="29">
        <v>1141</v>
      </c>
    </row>
    <row r="87" spans="3:4" ht="20" customHeight="1" x14ac:dyDescent="0.35">
      <c r="C87" s="29">
        <v>778</v>
      </c>
      <c r="D87" s="29">
        <v>873</v>
      </c>
    </row>
    <row r="88" spans="3:4" ht="20" customHeight="1" x14ac:dyDescent="0.35">
      <c r="C88" s="29">
        <v>891</v>
      </c>
      <c r="D88" s="29">
        <v>5535</v>
      </c>
    </row>
    <row r="89" spans="3:4" ht="20" customHeight="1" x14ac:dyDescent="0.35">
      <c r="C89" s="29">
        <v>661</v>
      </c>
      <c r="D89" s="29">
        <v>1480</v>
      </c>
    </row>
    <row r="90" spans="3:4" ht="20" customHeight="1" x14ac:dyDescent="0.35">
      <c r="C90" s="29">
        <v>347</v>
      </c>
      <c r="D90" s="29">
        <v>8720</v>
      </c>
    </row>
    <row r="91" spans="3:4" ht="20" customHeight="1" x14ac:dyDescent="0.35">
      <c r="C91" s="29">
        <v>72</v>
      </c>
      <c r="D91" s="29">
        <v>1645</v>
      </c>
    </row>
    <row r="92" spans="3:4" ht="20" customHeight="1" x14ac:dyDescent="0.35">
      <c r="C92" s="29">
        <v>2172</v>
      </c>
      <c r="D92" s="29">
        <v>7701</v>
      </c>
    </row>
    <row r="93" spans="3:4" ht="20" customHeight="1" x14ac:dyDescent="0.35">
      <c r="C93" s="29">
        <v>933</v>
      </c>
      <c r="D93" s="29">
        <v>1462</v>
      </c>
    </row>
    <row r="94" spans="3:4" ht="20" customHeight="1" x14ac:dyDescent="0.35">
      <c r="C94" s="29">
        <v>503</v>
      </c>
      <c r="D94" s="29">
        <v>578</v>
      </c>
    </row>
    <row r="95" spans="3:4" ht="20" customHeight="1" x14ac:dyDescent="0.35">
      <c r="C95" s="29">
        <v>767</v>
      </c>
      <c r="D95" s="29">
        <v>3817</v>
      </c>
    </row>
    <row r="96" spans="3:4" ht="20" customHeight="1" x14ac:dyDescent="0.35">
      <c r="C96" s="28">
        <v>2600</v>
      </c>
      <c r="D96" s="29">
        <v>1058</v>
      </c>
    </row>
    <row r="97" spans="3:4" ht="20" customHeight="1" x14ac:dyDescent="0.35">
      <c r="C97" s="28">
        <v>1180</v>
      </c>
      <c r="D97" s="29">
        <v>147</v>
      </c>
    </row>
    <row r="98" spans="3:4" ht="20" customHeight="1" x14ac:dyDescent="0.35">
      <c r="C98" s="29">
        <v>520</v>
      </c>
      <c r="D98" s="28">
        <v>1330</v>
      </c>
    </row>
    <row r="99" spans="3:4" ht="20" customHeight="1" x14ac:dyDescent="0.35">
      <c r="C99" s="29">
        <v>585</v>
      </c>
      <c r="D99" s="29">
        <v>1568</v>
      </c>
    </row>
    <row r="100" spans="3:4" ht="20" customHeight="1" x14ac:dyDescent="0.35">
      <c r="C100" s="28">
        <v>3322</v>
      </c>
      <c r="D100" s="29">
        <v>1351</v>
      </c>
    </row>
    <row r="101" spans="3:4" ht="20" customHeight="1" x14ac:dyDescent="0.35">
      <c r="C101" s="29">
        <v>540</v>
      </c>
      <c r="D101" s="28">
        <v>3604</v>
      </c>
    </row>
    <row r="102" spans="3:4" ht="20" customHeight="1" x14ac:dyDescent="0.35">
      <c r="C102" s="29">
        <v>2318</v>
      </c>
      <c r="D102" s="28">
        <v>792</v>
      </c>
    </row>
    <row r="103" spans="3:4" ht="20" customHeight="1" x14ac:dyDescent="0.35">
      <c r="C103" s="29">
        <v>45</v>
      </c>
      <c r="D103" s="29">
        <v>3200</v>
      </c>
    </row>
    <row r="104" spans="3:4" ht="20" customHeight="1" x14ac:dyDescent="0.35">
      <c r="C104" s="28">
        <v>939</v>
      </c>
      <c r="D104" s="29">
        <v>111</v>
      </c>
    </row>
    <row r="105" spans="3:4" ht="20" customHeight="1" x14ac:dyDescent="0.35">
      <c r="C105" s="29">
        <v>457</v>
      </c>
      <c r="D105" s="29">
        <v>3225</v>
      </c>
    </row>
    <row r="106" spans="3:4" ht="20" customHeight="1" x14ac:dyDescent="0.35">
      <c r="C106" s="29">
        <v>89</v>
      </c>
      <c r="D106" s="29">
        <v>778</v>
      </c>
    </row>
    <row r="107" spans="3:4" ht="20" customHeight="1" x14ac:dyDescent="0.35">
      <c r="C107" s="29">
        <v>2744</v>
      </c>
      <c r="D107" s="29">
        <v>891</v>
      </c>
    </row>
    <row r="108" spans="3:4" ht="20" customHeight="1" x14ac:dyDescent="0.35">
      <c r="C108" s="28">
        <v>458</v>
      </c>
      <c r="D108" s="29">
        <v>1128</v>
      </c>
    </row>
    <row r="109" spans="3:4" ht="20" customHeight="1" x14ac:dyDescent="0.35">
      <c r="C109" s="29">
        <v>1512</v>
      </c>
      <c r="D109" s="29">
        <v>2172</v>
      </c>
    </row>
    <row r="110" spans="3:4" ht="20" customHeight="1" x14ac:dyDescent="0.35">
      <c r="C110" s="29">
        <v>873</v>
      </c>
      <c r="D110" s="29">
        <v>933</v>
      </c>
    </row>
    <row r="111" spans="3:4" ht="20" customHeight="1" x14ac:dyDescent="0.35">
      <c r="C111" s="28">
        <v>1543</v>
      </c>
      <c r="D111" s="29">
        <v>503</v>
      </c>
    </row>
    <row r="112" spans="3:4" ht="20" customHeight="1" x14ac:dyDescent="0.35">
      <c r="C112" s="29">
        <v>650</v>
      </c>
      <c r="D112" s="28">
        <v>2289</v>
      </c>
    </row>
    <row r="113" spans="3:4" ht="20" customHeight="1" x14ac:dyDescent="0.35">
      <c r="C113" s="29">
        <v>150</v>
      </c>
      <c r="D113" s="29">
        <v>1180</v>
      </c>
    </row>
    <row r="114" spans="3:4" ht="20" customHeight="1" x14ac:dyDescent="0.35">
      <c r="C114" s="29">
        <v>1372</v>
      </c>
      <c r="D114" s="29">
        <v>1834</v>
      </c>
    </row>
    <row r="115" spans="3:4" ht="20" customHeight="1" x14ac:dyDescent="0.35">
      <c r="C115" s="29">
        <v>530</v>
      </c>
      <c r="D115" s="29">
        <v>3314</v>
      </c>
    </row>
    <row r="116" spans="3:4" ht="20" customHeight="1" x14ac:dyDescent="0.35">
      <c r="C116" s="29">
        <v>4233</v>
      </c>
      <c r="D116" s="28">
        <v>585</v>
      </c>
    </row>
    <row r="117" spans="3:4" ht="20" customHeight="1" x14ac:dyDescent="0.35">
      <c r="C117" s="29">
        <v>194</v>
      </c>
      <c r="D117" s="29">
        <v>1609</v>
      </c>
    </row>
    <row r="118" spans="3:4" ht="20" customHeight="1" x14ac:dyDescent="0.35">
      <c r="C118" s="29">
        <v>62</v>
      </c>
      <c r="D118" s="29">
        <v>3322</v>
      </c>
    </row>
    <row r="119" spans="3:4" ht="20" customHeight="1" x14ac:dyDescent="0.35">
      <c r="C119" s="29">
        <v>733</v>
      </c>
      <c r="D119" s="29">
        <v>432</v>
      </c>
    </row>
    <row r="120" spans="3:4" ht="20" customHeight="1" x14ac:dyDescent="0.35">
      <c r="C120" s="29">
        <v>741</v>
      </c>
      <c r="D120" s="29">
        <v>3709</v>
      </c>
    </row>
    <row r="121" spans="3:4" ht="20" customHeight="1" x14ac:dyDescent="0.35">
      <c r="C121" s="29">
        <v>2287</v>
      </c>
      <c r="D121" s="29">
        <v>540</v>
      </c>
    </row>
    <row r="122" spans="3:4" ht="20" customHeight="1" x14ac:dyDescent="0.35">
      <c r="C122" s="29">
        <v>389</v>
      </c>
      <c r="D122" s="29">
        <v>2318</v>
      </c>
    </row>
    <row r="123" spans="3:4" ht="20" customHeight="1" x14ac:dyDescent="0.35">
      <c r="C123" s="29">
        <v>849</v>
      </c>
      <c r="D123" s="29">
        <v>45</v>
      </c>
    </row>
    <row r="124" spans="3:4" ht="20" customHeight="1" x14ac:dyDescent="0.35">
      <c r="C124" s="29">
        <v>134</v>
      </c>
      <c r="D124" s="29">
        <v>10681</v>
      </c>
    </row>
    <row r="125" spans="3:4" ht="20" customHeight="1" x14ac:dyDescent="0.35">
      <c r="C125" s="29">
        <v>1042</v>
      </c>
      <c r="D125" s="29">
        <v>3100</v>
      </c>
    </row>
    <row r="126" spans="3:4" ht="20" customHeight="1" x14ac:dyDescent="0.35">
      <c r="C126" s="29">
        <v>1045</v>
      </c>
      <c r="D126" s="29">
        <v>939</v>
      </c>
    </row>
    <row r="127" spans="3:4" ht="20" customHeight="1" x14ac:dyDescent="0.35">
      <c r="C127" s="29">
        <v>1836</v>
      </c>
      <c r="D127" s="29">
        <v>89</v>
      </c>
    </row>
    <row r="128" spans="3:4" ht="20" customHeight="1" x14ac:dyDescent="0.35">
      <c r="C128" s="29">
        <v>511</v>
      </c>
      <c r="D128" s="29">
        <v>2274</v>
      </c>
    </row>
    <row r="129" spans="3:4" ht="20" customHeight="1" x14ac:dyDescent="0.35">
      <c r="C129" s="29">
        <v>71</v>
      </c>
      <c r="D129" s="28">
        <v>1135</v>
      </c>
    </row>
    <row r="130" spans="3:4" ht="20" customHeight="1" x14ac:dyDescent="0.35">
      <c r="C130" s="29">
        <v>1449</v>
      </c>
      <c r="D130" s="29">
        <v>6377</v>
      </c>
    </row>
    <row r="131" spans="3:4" ht="20" customHeight="1" x14ac:dyDescent="0.35">
      <c r="C131" s="29">
        <v>668</v>
      </c>
      <c r="D131" s="29">
        <v>1512</v>
      </c>
    </row>
    <row r="132" spans="3:4" ht="20" customHeight="1" x14ac:dyDescent="0.35">
      <c r="C132" s="29">
        <v>1541</v>
      </c>
      <c r="D132" s="29">
        <v>873</v>
      </c>
    </row>
    <row r="133" spans="3:4" ht="20" customHeight="1" x14ac:dyDescent="0.35">
      <c r="C133" s="29">
        <v>372</v>
      </c>
      <c r="D133" s="29">
        <v>900</v>
      </c>
    </row>
    <row r="134" spans="3:4" ht="20" customHeight="1" x14ac:dyDescent="0.35">
      <c r="C134" s="29">
        <v>562</v>
      </c>
      <c r="D134" s="29">
        <v>14813</v>
      </c>
    </row>
    <row r="135" spans="3:4" ht="20" customHeight="1" x14ac:dyDescent="0.35">
      <c r="C135" s="29">
        <v>1510</v>
      </c>
      <c r="D135" s="29">
        <v>1543</v>
      </c>
    </row>
    <row r="136" spans="3:4" ht="20" customHeight="1" x14ac:dyDescent="0.35">
      <c r="C136" s="29">
        <v>790</v>
      </c>
      <c r="D136" s="29">
        <v>7170</v>
      </c>
    </row>
    <row r="137" spans="3:4" ht="20" customHeight="1" x14ac:dyDescent="0.35">
      <c r="C137" s="29">
        <v>589</v>
      </c>
      <c r="D137" s="29">
        <v>5100</v>
      </c>
    </row>
    <row r="138" spans="3:4" ht="20" customHeight="1" x14ac:dyDescent="0.35">
      <c r="C138" s="29">
        <v>2370</v>
      </c>
      <c r="D138" s="29">
        <v>4691</v>
      </c>
    </row>
    <row r="139" spans="3:4" ht="20" customHeight="1" x14ac:dyDescent="0.35">
      <c r="C139" s="28">
        <v>519</v>
      </c>
      <c r="D139" s="29">
        <v>4072</v>
      </c>
    </row>
    <row r="140" spans="3:4" ht="20" customHeight="1" x14ac:dyDescent="0.35">
      <c r="C140" s="29">
        <v>118</v>
      </c>
      <c r="D140" s="29">
        <v>650</v>
      </c>
    </row>
    <row r="141" spans="3:4" ht="20" customHeight="1" x14ac:dyDescent="0.35">
      <c r="C141" s="29">
        <v>452</v>
      </c>
      <c r="D141" s="28">
        <v>1372</v>
      </c>
    </row>
    <row r="142" spans="3:4" ht="20" customHeight="1" x14ac:dyDescent="0.35">
      <c r="C142" s="29">
        <v>1669</v>
      </c>
      <c r="D142" s="28">
        <v>4233</v>
      </c>
    </row>
    <row r="143" spans="3:4" ht="20" customHeight="1" x14ac:dyDescent="0.35">
      <c r="C143" s="29">
        <v>285</v>
      </c>
      <c r="D143" s="28">
        <v>733</v>
      </c>
    </row>
    <row r="144" spans="3:4" ht="20" customHeight="1" x14ac:dyDescent="0.35">
      <c r="C144" s="29">
        <v>111</v>
      </c>
      <c r="D144" s="28">
        <v>4222</v>
      </c>
    </row>
    <row r="145" spans="3:4" ht="20" customHeight="1" x14ac:dyDescent="0.35">
      <c r="C145" s="29">
        <v>586</v>
      </c>
      <c r="D145" s="29">
        <v>2287</v>
      </c>
    </row>
    <row r="146" spans="3:4" ht="20" customHeight="1" x14ac:dyDescent="0.35">
      <c r="C146" s="29">
        <v>33</v>
      </c>
      <c r="D146" s="29">
        <v>389</v>
      </c>
    </row>
    <row r="147" spans="3:4" ht="20" customHeight="1" x14ac:dyDescent="0.35">
      <c r="C147" s="29">
        <v>869</v>
      </c>
      <c r="D147" s="29">
        <v>2552</v>
      </c>
    </row>
    <row r="148" spans="3:4" ht="20" customHeight="1" x14ac:dyDescent="0.35">
      <c r="C148" s="29">
        <v>2397</v>
      </c>
      <c r="D148" s="29">
        <v>1947</v>
      </c>
    </row>
    <row r="149" spans="3:4" ht="20" customHeight="1" x14ac:dyDescent="0.35">
      <c r="C149" s="29">
        <v>1595</v>
      </c>
      <c r="D149" s="29">
        <v>1836</v>
      </c>
    </row>
    <row r="150" spans="3:4" ht="20" customHeight="1" x14ac:dyDescent="0.35">
      <c r="C150" s="29">
        <v>318</v>
      </c>
      <c r="D150" s="29">
        <v>511</v>
      </c>
    </row>
    <row r="151" spans="3:4" ht="20" customHeight="1" x14ac:dyDescent="0.35">
      <c r="C151" s="28">
        <v>742</v>
      </c>
      <c r="D151" s="29">
        <v>71</v>
      </c>
    </row>
    <row r="152" spans="3:4" ht="20" customHeight="1" x14ac:dyDescent="0.35">
      <c r="C152" s="29">
        <v>1143</v>
      </c>
      <c r="D152" s="29">
        <v>1449</v>
      </c>
    </row>
    <row r="153" spans="3:4" ht="20" customHeight="1" x14ac:dyDescent="0.35">
      <c r="C153" s="29">
        <v>705</v>
      </c>
      <c r="D153" s="29">
        <v>668</v>
      </c>
    </row>
    <row r="154" spans="3:4" ht="20" customHeight="1" x14ac:dyDescent="0.35">
      <c r="C154" s="29">
        <v>2923</v>
      </c>
      <c r="D154" s="29">
        <v>1541</v>
      </c>
    </row>
    <row r="155" spans="3:4" ht="20" customHeight="1" x14ac:dyDescent="0.35">
      <c r="C155" s="29">
        <v>754</v>
      </c>
      <c r="D155" s="29">
        <v>562</v>
      </c>
    </row>
    <row r="156" spans="3:4" ht="20" customHeight="1" x14ac:dyDescent="0.35">
      <c r="C156" s="19"/>
      <c r="D156" s="29">
        <v>1510</v>
      </c>
    </row>
    <row r="157" spans="3:4" ht="20" customHeight="1" x14ac:dyDescent="0.35">
      <c r="C157" s="19"/>
      <c r="D157" s="29">
        <v>4424</v>
      </c>
    </row>
    <row r="158" spans="3:4" ht="20" customHeight="1" x14ac:dyDescent="0.35">
      <c r="C158" s="19"/>
      <c r="D158" s="29">
        <v>985</v>
      </c>
    </row>
    <row r="159" spans="3:4" ht="20" customHeight="1" x14ac:dyDescent="0.35">
      <c r="C159" s="19"/>
      <c r="D159" s="29">
        <v>2370</v>
      </c>
    </row>
    <row r="160" spans="3:4" ht="20" customHeight="1" x14ac:dyDescent="0.35">
      <c r="C160" s="19"/>
      <c r="D160" s="29">
        <v>980</v>
      </c>
    </row>
    <row r="161" spans="3:4" ht="20" customHeight="1" x14ac:dyDescent="0.35">
      <c r="C161" s="19"/>
      <c r="D161" s="29">
        <v>519</v>
      </c>
    </row>
    <row r="162" spans="3:4" ht="20" customHeight="1" x14ac:dyDescent="0.35">
      <c r="C162" s="19"/>
      <c r="D162" s="29">
        <v>173</v>
      </c>
    </row>
    <row r="163" spans="3:4" ht="20" customHeight="1" x14ac:dyDescent="0.35">
      <c r="C163" s="19"/>
      <c r="D163" s="29">
        <v>1669</v>
      </c>
    </row>
    <row r="164" spans="3:4" ht="20" customHeight="1" x14ac:dyDescent="0.35">
      <c r="C164" s="19"/>
      <c r="D164" s="29">
        <v>118</v>
      </c>
    </row>
    <row r="165" spans="3:4" ht="20" customHeight="1" x14ac:dyDescent="0.35">
      <c r="C165" s="19"/>
      <c r="D165" s="29">
        <v>452</v>
      </c>
    </row>
    <row r="166" spans="3:4" ht="20" customHeight="1" x14ac:dyDescent="0.35">
      <c r="C166" s="19"/>
      <c r="D166" s="29">
        <v>1669</v>
      </c>
    </row>
    <row r="167" spans="3:4" ht="20" customHeight="1" x14ac:dyDescent="0.35">
      <c r="C167" s="19"/>
      <c r="D167" s="29">
        <v>2499</v>
      </c>
    </row>
    <row r="168" spans="3:4" ht="20" customHeight="1" x14ac:dyDescent="0.35">
      <c r="C168" s="19"/>
      <c r="D168" s="29">
        <v>285</v>
      </c>
    </row>
    <row r="169" spans="3:4" x14ac:dyDescent="0.35">
      <c r="C169" s="19"/>
      <c r="D169" s="28">
        <v>586</v>
      </c>
    </row>
    <row r="170" spans="3:4" x14ac:dyDescent="0.35">
      <c r="C170" s="19"/>
      <c r="D170" s="29">
        <v>869</v>
      </c>
    </row>
    <row r="171" spans="3:4" x14ac:dyDescent="0.35">
      <c r="C171" s="19"/>
      <c r="D171" s="29">
        <v>2397</v>
      </c>
    </row>
    <row r="172" spans="3:4" x14ac:dyDescent="0.35">
      <c r="C172" s="19"/>
      <c r="D172" s="29">
        <v>9485</v>
      </c>
    </row>
    <row r="173" spans="3:4" x14ac:dyDescent="0.35">
      <c r="C173" s="19"/>
      <c r="D173" s="29">
        <v>1595</v>
      </c>
    </row>
    <row r="174" spans="3:4" x14ac:dyDescent="0.35">
      <c r="C174" s="20">
        <f>SUM(C2:C173)</f>
        <v>176817</v>
      </c>
      <c r="D174" s="28">
        <v>3079</v>
      </c>
    </row>
    <row r="175" spans="3:4" x14ac:dyDescent="0.35">
      <c r="D175" s="29">
        <v>742</v>
      </c>
    </row>
    <row r="176" spans="3:4" x14ac:dyDescent="0.35">
      <c r="D176" s="29">
        <v>5313</v>
      </c>
    </row>
    <row r="177" spans="4:4" x14ac:dyDescent="0.35">
      <c r="D177" s="29">
        <v>1143</v>
      </c>
    </row>
    <row r="178" spans="4:4" x14ac:dyDescent="0.35">
      <c r="D178" s="29">
        <v>705</v>
      </c>
    </row>
    <row r="179" spans="4:4" x14ac:dyDescent="0.35">
      <c r="D179" s="29">
        <v>294</v>
      </c>
    </row>
    <row r="180" spans="4:4" x14ac:dyDescent="0.35">
      <c r="D180" s="29">
        <v>2923</v>
      </c>
    </row>
    <row r="181" spans="4:4" x14ac:dyDescent="0.35">
      <c r="D181" s="28">
        <v>754</v>
      </c>
    </row>
    <row r="182" spans="4:4" x14ac:dyDescent="0.35">
      <c r="D182" s="20">
        <f>SUM(D2:D181)</f>
        <v>432486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DE6UZ2SY5E43-1273115200-266</_dlc_DocId>
    <_dlc_DocIdUrl xmlns="3b005fd8-62d5-4927-a0f9-fdac9185221f">
      <Url>https://outside.vermont.gov/dept/sos/_layouts/15/DocIdRedir.aspx?ID=DE6UZ2SY5E43-1273115200-266</Url>
      <Description>DE6UZ2SY5E43-1273115200-266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F4FB50D-45B8-4AC3-814C-7D51F0B8B4A6}"/>
</file>

<file path=customXml/itemProps2.xml><?xml version="1.0" encoding="utf-8"?>
<ds:datastoreItem xmlns:ds="http://schemas.openxmlformats.org/officeDocument/2006/customXml" ds:itemID="{B66ED77B-D523-436A-BFA4-35B69961EBDC}"/>
</file>

<file path=customXml/itemProps3.xml><?xml version="1.0" encoding="utf-8"?>
<ds:datastoreItem xmlns:ds="http://schemas.openxmlformats.org/officeDocument/2006/customXml" ds:itemID="{4F047F0F-E849-4B86-A309-F1496FF6EBAC}"/>
</file>

<file path=customXml/itemProps4.xml><?xml version="1.0" encoding="utf-8"?>
<ds:datastoreItem xmlns:ds="http://schemas.openxmlformats.org/officeDocument/2006/customXml" ds:itemID="{9341B7CD-7E3B-4887-9F03-BB8F525A76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Vermont Secretary of State's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Harrington, Liz</cp:lastModifiedBy>
  <dcterms:created xsi:type="dcterms:W3CDTF">2018-05-11T14:56:29Z</dcterms:created>
  <dcterms:modified xsi:type="dcterms:W3CDTF">2019-05-02T17:15:34Z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b9543e87-8db2-4c74-87d6-ac07b2b9913c</vt:lpwstr>
  </property>
</Properties>
</file>