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alfresco.sec.state.vt.us:8443/alfresco/webdav/Sites/business-division-elections/documentLibrary/Town Meeting Information &amp; Survey/2018 Town Meeting Turnout/"/>
    </mc:Choice>
  </mc:AlternateContent>
  <bookViews>
    <workbookView xWindow="0" yWindow="0" windowWidth="23040" windowHeight="93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3" i="1" l="1"/>
  <c r="F149" i="1"/>
  <c r="F183" i="1"/>
  <c r="F23" i="1"/>
  <c r="F39" i="1"/>
  <c r="F60" i="1"/>
  <c r="F61" i="1"/>
  <c r="F62" i="1"/>
  <c r="F68" i="1"/>
  <c r="F70" i="1"/>
  <c r="F143" i="1"/>
  <c r="H220" i="1"/>
  <c r="H221" i="1"/>
  <c r="H222" i="1"/>
  <c r="H224" i="1"/>
  <c r="H207" i="1"/>
  <c r="H208" i="1"/>
  <c r="H209" i="1"/>
  <c r="H211" i="1"/>
  <c r="H212" i="1"/>
  <c r="H214" i="1"/>
  <c r="H215" i="1"/>
  <c r="H216" i="1"/>
  <c r="H217" i="1"/>
  <c r="H219" i="1"/>
  <c r="H204" i="1"/>
  <c r="H199" i="1"/>
  <c r="H200" i="1"/>
  <c r="H192" i="1"/>
  <c r="H193" i="1"/>
  <c r="H194" i="1"/>
  <c r="H195" i="1"/>
  <c r="H188" i="1"/>
  <c r="H178" i="1"/>
  <c r="H167" i="1"/>
  <c r="H168" i="1"/>
  <c r="H169" i="1"/>
  <c r="H163" i="1"/>
  <c r="H164" i="1"/>
  <c r="H160" i="1"/>
  <c r="H158" i="1"/>
  <c r="H149" i="1"/>
  <c r="H132" i="1"/>
  <c r="H127" i="1"/>
  <c r="H123" i="1"/>
  <c r="H124" i="1"/>
  <c r="H85" i="1"/>
  <c r="H83" i="1"/>
  <c r="H68" i="1"/>
  <c r="H70" i="1"/>
  <c r="H59" i="1"/>
  <c r="H60" i="1"/>
  <c r="H61" i="1"/>
  <c r="H62" i="1"/>
  <c r="H28" i="1"/>
  <c r="H23" i="1"/>
  <c r="H19" i="1"/>
  <c r="D128" i="1"/>
  <c r="F221" i="1"/>
  <c r="F222" i="1"/>
  <c r="F224" i="1"/>
  <c r="F207" i="1"/>
  <c r="F208" i="1"/>
  <c r="F209" i="1"/>
  <c r="F211" i="1"/>
  <c r="F212" i="1"/>
  <c r="F214" i="1"/>
  <c r="F215" i="1"/>
  <c r="F216" i="1"/>
  <c r="F217" i="1"/>
  <c r="F219" i="1"/>
  <c r="F220" i="1"/>
  <c r="F204" i="1"/>
  <c r="F199" i="1"/>
  <c r="F195" i="1"/>
  <c r="F193" i="1"/>
  <c r="F188" i="1"/>
  <c r="F178" i="1"/>
  <c r="H97" i="1"/>
  <c r="H106" i="1"/>
  <c r="H110" i="1"/>
  <c r="H119" i="1"/>
  <c r="F119" i="1"/>
  <c r="F106" i="1"/>
  <c r="F97" i="1"/>
  <c r="F117" i="1"/>
  <c r="D213" i="1"/>
  <c r="D214" i="1"/>
  <c r="D215" i="1"/>
  <c r="D217" i="1"/>
  <c r="D218" i="1"/>
  <c r="D220" i="1"/>
  <c r="D222" i="1"/>
  <c r="D223" i="1"/>
  <c r="D206" i="1"/>
  <c r="D207" i="1"/>
  <c r="D208" i="1"/>
  <c r="D210" i="1"/>
  <c r="D211" i="1"/>
  <c r="D212" i="1"/>
  <c r="D198" i="1"/>
  <c r="D200" i="1"/>
  <c r="D191" i="1"/>
  <c r="D184" i="1"/>
  <c r="D185" i="1"/>
  <c r="D186" i="1"/>
  <c r="D187" i="1"/>
  <c r="D140" i="1"/>
  <c r="D131" i="1"/>
  <c r="D133" i="1"/>
  <c r="D26" i="1"/>
  <c r="F167" i="1"/>
  <c r="F168" i="1"/>
  <c r="F169" i="1"/>
  <c r="F162" i="1"/>
  <c r="F163" i="1"/>
  <c r="F164" i="1"/>
  <c r="F160" i="1"/>
  <c r="F161" i="1"/>
  <c r="F158" i="1"/>
  <c r="D157" i="1"/>
  <c r="D152" i="1"/>
  <c r="D153" i="1"/>
  <c r="D147" i="1"/>
  <c r="F132" i="1"/>
  <c r="F127" i="1"/>
  <c r="F123" i="1"/>
  <c r="F124" i="1"/>
  <c r="H112" i="1"/>
  <c r="D111" i="1"/>
  <c r="D103" i="1"/>
  <c r="D99" i="1"/>
  <c r="D94" i="1"/>
  <c r="D95" i="1"/>
  <c r="D89" i="1"/>
  <c r="D80" i="1"/>
  <c r="D77" i="1"/>
  <c r="D74" i="1"/>
  <c r="D71" i="1"/>
  <c r="D72" i="1"/>
  <c r="D57" i="1"/>
  <c r="D49" i="1"/>
  <c r="D50" i="1"/>
  <c r="D40" i="1"/>
  <c r="D41" i="1"/>
  <c r="D42" i="1"/>
  <c r="D35" i="1"/>
  <c r="D36" i="1"/>
  <c r="D33" i="1"/>
  <c r="D24" i="1"/>
  <c r="D21" i="1"/>
  <c r="D16" i="1"/>
  <c r="D13" i="1"/>
  <c r="D11" i="1"/>
  <c r="D5" i="1"/>
  <c r="F28" i="1"/>
  <c r="H6" i="1"/>
  <c r="H8" i="1"/>
  <c r="H10" i="1"/>
  <c r="H12" i="1"/>
  <c r="H17" i="1"/>
  <c r="F17" i="1"/>
  <c r="F19" i="1"/>
  <c r="F6" i="1"/>
  <c r="F8" i="1"/>
  <c r="F10" i="1"/>
  <c r="F4" i="1"/>
  <c r="F3" i="1" l="1"/>
  <c r="H3" i="1"/>
  <c r="D4" i="1"/>
  <c r="D7" i="1"/>
  <c r="D8" i="1"/>
  <c r="D9" i="1"/>
  <c r="D10" i="1"/>
  <c r="F11" i="1"/>
  <c r="F12" i="1"/>
  <c r="F13" i="1"/>
  <c r="H13" i="1"/>
  <c r="D14" i="1"/>
  <c r="F15" i="1"/>
  <c r="H15" i="1"/>
  <c r="F16" i="1"/>
  <c r="H16" i="1"/>
  <c r="D18" i="1"/>
  <c r="D19" i="1"/>
  <c r="D20" i="1"/>
  <c r="F22" i="1"/>
  <c r="H22" i="1"/>
  <c r="F25" i="1"/>
  <c r="H25" i="1"/>
  <c r="F26" i="1"/>
  <c r="H26" i="1"/>
  <c r="H27" i="1"/>
  <c r="D29" i="1"/>
  <c r="D30" i="1"/>
  <c r="F31" i="1"/>
  <c r="H31" i="1"/>
  <c r="F32" i="1"/>
  <c r="H32" i="1"/>
  <c r="F33" i="1"/>
  <c r="H33" i="1"/>
  <c r="D34" i="1"/>
  <c r="F34" i="1"/>
  <c r="H34" i="1"/>
  <c r="F35" i="1"/>
  <c r="H35" i="1"/>
  <c r="F36" i="1"/>
  <c r="H36" i="1"/>
  <c r="F37" i="1"/>
  <c r="H37" i="1"/>
  <c r="F38" i="1"/>
  <c r="H38" i="1"/>
  <c r="F40" i="1"/>
  <c r="H40" i="1"/>
  <c r="F42" i="1"/>
  <c r="H42" i="1"/>
  <c r="F43" i="1"/>
  <c r="H43" i="1"/>
  <c r="F44" i="1"/>
  <c r="H44" i="1"/>
  <c r="F45" i="1"/>
  <c r="H45" i="1"/>
  <c r="F46" i="1"/>
  <c r="H46" i="1"/>
  <c r="F47" i="1"/>
  <c r="H47" i="1"/>
  <c r="D48" i="1"/>
  <c r="F48" i="1"/>
  <c r="H48" i="1"/>
  <c r="F50" i="1"/>
  <c r="H50" i="1"/>
  <c r="D51" i="1"/>
  <c r="F51" i="1"/>
  <c r="D52" i="1"/>
  <c r="F52" i="1"/>
  <c r="H52" i="1"/>
  <c r="F53" i="1"/>
  <c r="H53" i="1"/>
  <c r="F54" i="1"/>
  <c r="H54" i="1"/>
  <c r="D55" i="1"/>
  <c r="F55" i="1"/>
  <c r="H55" i="1"/>
  <c r="F56" i="1"/>
  <c r="H56" i="1"/>
  <c r="D58" i="1"/>
  <c r="F58" i="1"/>
  <c r="H58" i="1"/>
  <c r="D59" i="1"/>
  <c r="F59" i="1"/>
  <c r="D63" i="1"/>
  <c r="F63" i="1"/>
  <c r="H63" i="1"/>
  <c r="D64" i="1"/>
  <c r="D65" i="1"/>
  <c r="F65" i="1"/>
  <c r="H65" i="1"/>
  <c r="D66" i="1"/>
  <c r="D67" i="1"/>
  <c r="F67" i="1"/>
  <c r="H67" i="1"/>
  <c r="D68" i="1"/>
  <c r="D69" i="1"/>
  <c r="D70" i="1"/>
  <c r="F71" i="1"/>
  <c r="H71" i="1"/>
  <c r="F72" i="1"/>
  <c r="H72" i="1"/>
  <c r="F73" i="1"/>
  <c r="H73" i="1"/>
  <c r="D75" i="1"/>
  <c r="D76" i="1"/>
  <c r="F76" i="1"/>
  <c r="H76" i="1"/>
  <c r="F77" i="1"/>
  <c r="H77" i="1"/>
  <c r="F78" i="1"/>
  <c r="H78" i="1"/>
  <c r="D79" i="1"/>
  <c r="F79" i="1"/>
  <c r="H79" i="1"/>
  <c r="F81" i="1"/>
  <c r="H81" i="1"/>
  <c r="D82" i="1"/>
  <c r="F82" i="1"/>
  <c r="H82" i="1"/>
  <c r="D83" i="1"/>
  <c r="F84" i="1"/>
  <c r="H84" i="1"/>
  <c r="F86" i="1"/>
  <c r="H86" i="1"/>
  <c r="F87" i="1"/>
  <c r="H87" i="1"/>
  <c r="D88" i="1"/>
  <c r="F88" i="1"/>
  <c r="H88" i="1"/>
  <c r="F89" i="1"/>
  <c r="D90" i="1"/>
  <c r="D91" i="1"/>
  <c r="F91" i="1"/>
  <c r="H91" i="1"/>
  <c r="D92" i="1"/>
  <c r="D93" i="1"/>
  <c r="F93" i="1"/>
  <c r="F94" i="1"/>
  <c r="H94" i="1"/>
  <c r="F95" i="1"/>
  <c r="H95" i="1"/>
  <c r="F96" i="1"/>
  <c r="H96" i="1"/>
  <c r="D97" i="1"/>
  <c r="D98" i="1"/>
  <c r="F99" i="1"/>
  <c r="H99" i="1"/>
  <c r="D100" i="1"/>
  <c r="F100" i="1"/>
  <c r="D101" i="1"/>
  <c r="F101" i="1"/>
  <c r="H101" i="1"/>
  <c r="D102" i="1"/>
  <c r="F102" i="1"/>
  <c r="H102" i="1"/>
  <c r="F103" i="1"/>
  <c r="F104" i="1"/>
  <c r="H104" i="1"/>
  <c r="F105" i="1"/>
  <c r="H105" i="1"/>
  <c r="D106" i="1"/>
  <c r="F107" i="1"/>
  <c r="H107" i="1"/>
  <c r="D108" i="1"/>
  <c r="F108" i="1"/>
  <c r="H108" i="1"/>
  <c r="F109" i="1"/>
  <c r="H109" i="1"/>
  <c r="D110" i="1"/>
  <c r="F110" i="1"/>
  <c r="F111" i="1"/>
  <c r="H111" i="1"/>
  <c r="F113" i="1"/>
  <c r="H113" i="1"/>
  <c r="F114" i="1"/>
  <c r="H114" i="1"/>
  <c r="F115" i="1"/>
  <c r="H115" i="1"/>
  <c r="D116" i="1"/>
  <c r="F118" i="1"/>
  <c r="H118" i="1"/>
  <c r="D119" i="1"/>
  <c r="F120" i="1"/>
  <c r="H120" i="1"/>
  <c r="D121" i="1"/>
  <c r="F121" i="1"/>
  <c r="F122" i="1"/>
  <c r="D123" i="1"/>
  <c r="F125" i="1"/>
  <c r="H125" i="1"/>
  <c r="D126" i="1"/>
  <c r="F128" i="1"/>
  <c r="H128" i="1"/>
  <c r="D129" i="1"/>
  <c r="F130" i="1"/>
  <c r="H130" i="1"/>
  <c r="F133" i="1"/>
  <c r="H133" i="1"/>
  <c r="F134" i="1"/>
  <c r="H134" i="1"/>
  <c r="D135" i="1"/>
  <c r="D136" i="1"/>
  <c r="D137" i="1"/>
  <c r="D138" i="1"/>
  <c r="F138" i="1"/>
  <c r="H138" i="1"/>
  <c r="D139" i="1"/>
  <c r="F139" i="1"/>
  <c r="H139" i="1"/>
  <c r="F141" i="1"/>
  <c r="H141" i="1"/>
  <c r="F142" i="1"/>
  <c r="H142" i="1"/>
  <c r="D143" i="1"/>
  <c r="F145" i="1"/>
  <c r="H145" i="1"/>
  <c r="D146" i="1"/>
  <c r="F147" i="1"/>
  <c r="H147" i="1"/>
  <c r="F148" i="1"/>
  <c r="H148" i="1"/>
  <c r="D149" i="1"/>
  <c r="D150" i="1"/>
  <c r="F150" i="1"/>
  <c r="F152" i="1"/>
  <c r="H152" i="1"/>
  <c r="F153" i="1"/>
  <c r="H153" i="1"/>
  <c r="F154" i="1"/>
  <c r="H154" i="1"/>
  <c r="F155" i="1"/>
  <c r="H155" i="1"/>
  <c r="F156" i="1"/>
  <c r="H156" i="1"/>
  <c r="D159" i="1"/>
  <c r="F159" i="1"/>
  <c r="H159" i="1"/>
  <c r="H161" i="1"/>
  <c r="D162" i="1"/>
  <c r="D163" i="1"/>
  <c r="D164" i="1"/>
  <c r="D165" i="1"/>
  <c r="F165" i="1"/>
  <c r="H165" i="1"/>
  <c r="D166" i="1"/>
  <c r="F166" i="1"/>
  <c r="H166" i="1"/>
  <c r="F170" i="1"/>
  <c r="H170" i="1"/>
  <c r="F171" i="1"/>
  <c r="H171" i="1"/>
  <c r="F172" i="1"/>
  <c r="H172" i="1"/>
  <c r="D173" i="1"/>
  <c r="F174" i="1"/>
  <c r="H174" i="1"/>
  <c r="D175" i="1"/>
  <c r="D176" i="1"/>
  <c r="F176" i="1"/>
  <c r="H176" i="1"/>
  <c r="D177" i="1"/>
  <c r="D178" i="1"/>
  <c r="D180" i="1"/>
  <c r="D182" i="1"/>
  <c r="F182" i="1"/>
  <c r="H182" i="1"/>
  <c r="F184" i="1"/>
  <c r="H184" i="1"/>
  <c r="F185" i="1"/>
  <c r="H185" i="1"/>
  <c r="D189" i="1"/>
  <c r="F189" i="1"/>
  <c r="H189" i="1"/>
  <c r="F190" i="1"/>
  <c r="H190" i="1"/>
  <c r="F191" i="1"/>
  <c r="H191" i="1"/>
  <c r="F192" i="1"/>
  <c r="D193" i="1"/>
  <c r="F194" i="1"/>
  <c r="D196" i="1"/>
  <c r="F196" i="1"/>
  <c r="H196" i="1"/>
  <c r="D197" i="1"/>
  <c r="F198" i="1"/>
  <c r="H198" i="1"/>
  <c r="F200" i="1"/>
  <c r="D201" i="1"/>
  <c r="F202" i="1"/>
  <c r="H202" i="1"/>
  <c r="D203" i="1"/>
  <c r="F203" i="1"/>
  <c r="H203" i="1"/>
  <c r="F205" i="1"/>
  <c r="H205" i="1"/>
  <c r="F206" i="1"/>
  <c r="H206" i="1"/>
  <c r="D225" i="1"/>
  <c r="F225" i="1"/>
  <c r="H225" i="1"/>
  <c r="C226" i="1"/>
  <c r="E227" i="1"/>
  <c r="F227" i="1" s="1"/>
  <c r="G227" i="1"/>
  <c r="H227" i="1" l="1"/>
  <c r="D226" i="1"/>
</calcChain>
</file>

<file path=xl/sharedStrings.xml><?xml version="1.0" encoding="utf-8"?>
<sst xmlns="http://schemas.openxmlformats.org/spreadsheetml/2006/main" count="234" uniqueCount="234">
  <si>
    <t>Town or City</t>
  </si>
  <si>
    <t>For floor meeting towns: what was the highest vote count? (your best estimate)</t>
  </si>
  <si>
    <t>Floor vote Turnout (%)</t>
  </si>
  <si>
    <t>For Australian ballot towns: how many people voted (include absentee ballot)?</t>
  </si>
  <si>
    <t>Australian ballot Turnout (%)</t>
  </si>
  <si>
    <t>For Australian ballot towns: how many voted by absentee ballot?</t>
  </si>
  <si>
    <t xml:space="preserve">Absentee Ballot Turnout (%) </t>
  </si>
  <si>
    <t>FLOOR VOTE TOTAL</t>
  </si>
  <si>
    <t>AUSTRALIAN BALLOT TOTAL</t>
  </si>
  <si>
    <t>ALBANY</t>
  </si>
  <si>
    <t>ARLINGTON</t>
  </si>
  <si>
    <t>BARNARD</t>
  </si>
  <si>
    <t>BRANDON</t>
  </si>
  <si>
    <t>BRUNSWICK</t>
  </si>
  <si>
    <t>CANAAN</t>
  </si>
  <si>
    <t>DORSET</t>
  </si>
  <si>
    <t>DUMMERSTON</t>
  </si>
  <si>
    <t>ENOSBURGH</t>
  </si>
  <si>
    <t>FAIR HAVEN</t>
  </si>
  <si>
    <t>FAIRFAX</t>
  </si>
  <si>
    <t>GLOVER</t>
  </si>
  <si>
    <t>GRAFTON</t>
  </si>
  <si>
    <t>GROTON</t>
  </si>
  <si>
    <t>HALIFAX</t>
  </si>
  <si>
    <t>HANCOCK</t>
  </si>
  <si>
    <t>HIGHGATE</t>
  </si>
  <si>
    <t>HUNTINGTON</t>
  </si>
  <si>
    <t>MIDDLESEX</t>
  </si>
  <si>
    <t>MORETOWN</t>
  </si>
  <si>
    <t>NORTHFIELD</t>
  </si>
  <si>
    <t>READSBORO</t>
  </si>
  <si>
    <t>ROCKINGHAM</t>
  </si>
  <si>
    <t>ROXBURY</t>
  </si>
  <si>
    <t>SANDGATE</t>
  </si>
  <si>
    <t>SHARON</t>
  </si>
  <si>
    <t>SHREWSBURY</t>
  </si>
  <si>
    <t>ST. JOHNSBURY</t>
  </si>
  <si>
    <t>STANNARD</t>
  </si>
  <si>
    <t>SUNDERLAND</t>
  </si>
  <si>
    <t>SWANTON</t>
  </si>
  <si>
    <t>VERNON</t>
  </si>
  <si>
    <t>WEATHERSFIELD</t>
  </si>
  <si>
    <t>WEST HAVEN</t>
  </si>
  <si>
    <t>WHITINGHAM</t>
  </si>
  <si>
    <t>WILMINGTON</t>
  </si>
  <si>
    <t>WORCESTER</t>
  </si>
  <si>
    <t>ADDISON</t>
  </si>
  <si>
    <t>ANDOVER</t>
  </si>
  <si>
    <t>ATHENS</t>
  </si>
  <si>
    <t>BAKERSFIELD</t>
  </si>
  <si>
    <t>BALTIMORE</t>
  </si>
  <si>
    <t>BARNET</t>
  </si>
  <si>
    <t>BARRE CITY</t>
  </si>
  <si>
    <t>BARTON</t>
  </si>
  <si>
    <t>BELVIDERE</t>
  </si>
  <si>
    <t>BENNINGTON</t>
  </si>
  <si>
    <t>BENSON</t>
  </si>
  <si>
    <t>BERKSHIRE</t>
  </si>
  <si>
    <t>BETHEL</t>
  </si>
  <si>
    <t>BOLTON</t>
  </si>
  <si>
    <t>BRADFORD</t>
  </si>
  <si>
    <t>BRAINTREE</t>
  </si>
  <si>
    <t>BRATTLEBORO</t>
  </si>
  <si>
    <t>BRIDGEWATER</t>
  </si>
  <si>
    <t>BRIDPORT</t>
  </si>
  <si>
    <t>BRIGHTON</t>
  </si>
  <si>
    <t>BRISTOL</t>
  </si>
  <si>
    <t>BROOKFIELD</t>
  </si>
  <si>
    <t>BROOKLINE</t>
  </si>
  <si>
    <t>BURKE</t>
  </si>
  <si>
    <t>BURLINGTON</t>
  </si>
  <si>
    <t>CABOT</t>
  </si>
  <si>
    <t>CALAIS</t>
  </si>
  <si>
    <t>CAMBRIDGE</t>
  </si>
  <si>
    <t>CASTLETON</t>
  </si>
  <si>
    <t>CAVENDISH</t>
  </si>
  <si>
    <t>CHARLSTON</t>
  </si>
  <si>
    <t>CHARLOTTE</t>
  </si>
  <si>
    <t>CHELSEA</t>
  </si>
  <si>
    <t>CHESTER</t>
  </si>
  <si>
    <t>CHITTENDEN</t>
  </si>
  <si>
    <t>CLARENDON</t>
  </si>
  <si>
    <t>COLCHESTER</t>
  </si>
  <si>
    <t>CONCORD</t>
  </si>
  <si>
    <t>CORINTH</t>
  </si>
  <si>
    <t>CORNWALL</t>
  </si>
  <si>
    <t>CRAFTSBURY</t>
  </si>
  <si>
    <t>DANVILLE</t>
  </si>
  <si>
    <t>DERBY</t>
  </si>
  <si>
    <t>DOVER</t>
  </si>
  <si>
    <t>DUXBURY</t>
  </si>
  <si>
    <t>EAST MONTPELIER</t>
  </si>
  <si>
    <t>EDEN</t>
  </si>
  <si>
    <t>ELMORE</t>
  </si>
  <si>
    <t>ESSEX</t>
  </si>
  <si>
    <t>FAIRFIELD</t>
  </si>
  <si>
    <t>FAIRLEE</t>
  </si>
  <si>
    <t>FERRISBURGH</t>
  </si>
  <si>
    <t>FLETCHER</t>
  </si>
  <si>
    <t>FRANKLIN</t>
  </si>
  <si>
    <t>GEORGIA</t>
  </si>
  <si>
    <t>GOSHEN</t>
  </si>
  <si>
    <t>GRANBY</t>
  </si>
  <si>
    <t>GRAND ISLE</t>
  </si>
  <si>
    <t>GRANVILLE</t>
  </si>
  <si>
    <t>GREENSBORO</t>
  </si>
  <si>
    <t>GUILDHALL</t>
  </si>
  <si>
    <t>GUILFORD</t>
  </si>
  <si>
    <t>HARTFORD</t>
  </si>
  <si>
    <t>HARTLAND</t>
  </si>
  <si>
    <t>HINESBURG</t>
  </si>
  <si>
    <t>HOLLAND</t>
  </si>
  <si>
    <t>HUBBARDTON</t>
  </si>
  <si>
    <t>HYDE PARK</t>
  </si>
  <si>
    <t xml:space="preserve">IRA </t>
  </si>
  <si>
    <t>IRASBURG</t>
  </si>
  <si>
    <t>ISLE LA MOTTE</t>
  </si>
  <si>
    <t xml:space="preserve">JAMAICA </t>
  </si>
  <si>
    <t>JAY</t>
  </si>
  <si>
    <t>JERICHO</t>
  </si>
  <si>
    <t>JOHNSON</t>
  </si>
  <si>
    <t>KILLINGTON</t>
  </si>
  <si>
    <t>KIRBY</t>
  </si>
  <si>
    <t>LANDGROVE</t>
  </si>
  <si>
    <t>LEICESTER</t>
  </si>
  <si>
    <t>LEMINGTON</t>
  </si>
  <si>
    <t>LINCOLN</t>
  </si>
  <si>
    <t>LONDONDERRY</t>
  </si>
  <si>
    <t>LOWELL</t>
  </si>
  <si>
    <t>LUDLOW</t>
  </si>
  <si>
    <t>LUNENBERG</t>
  </si>
  <si>
    <t>LYNDON</t>
  </si>
  <si>
    <t>MAIDSTONE</t>
  </si>
  <si>
    <t>MANCHESTER</t>
  </si>
  <si>
    <t>MARLBORO</t>
  </si>
  <si>
    <t>MARSHFIELD</t>
  </si>
  <si>
    <t>MENDON</t>
  </si>
  <si>
    <t>MIDDLEBURY</t>
  </si>
  <si>
    <t>MILTON</t>
  </si>
  <si>
    <t>MONKTON</t>
  </si>
  <si>
    <t>MONTGOMERY</t>
  </si>
  <si>
    <t>MONTPELIER</t>
  </si>
  <si>
    <t>MORRISTOWN</t>
  </si>
  <si>
    <t>MOUNT HOLLY</t>
  </si>
  <si>
    <t>MOUNT TABOR</t>
  </si>
  <si>
    <t>NEW HAVEN</t>
  </si>
  <si>
    <t>NEWBURY</t>
  </si>
  <si>
    <t>NEWFANE</t>
  </si>
  <si>
    <t>NEWPORT CITY</t>
  </si>
  <si>
    <t>NEWPORT TOWN</t>
  </si>
  <si>
    <t>NORTH HERO</t>
  </si>
  <si>
    <t>NORTON</t>
  </si>
  <si>
    <t>NORWICH</t>
  </si>
  <si>
    <t>ORANGE</t>
  </si>
  <si>
    <t>ORWELL</t>
  </si>
  <si>
    <t>PANTON</t>
  </si>
  <si>
    <t>PAWLET</t>
  </si>
  <si>
    <t>PEACHAM</t>
  </si>
  <si>
    <t>PERU</t>
  </si>
  <si>
    <t>PITTSFIELD</t>
  </si>
  <si>
    <t>PLAINFIELD</t>
  </si>
  <si>
    <t>PLYMOUTH</t>
  </si>
  <si>
    <t>POMFRET</t>
  </si>
  <si>
    <t>POULTNEY</t>
  </si>
  <si>
    <t>POWNAL</t>
  </si>
  <si>
    <t>PROCTOR</t>
  </si>
  <si>
    <t>PUTNEY</t>
  </si>
  <si>
    <t>RANDOLPH</t>
  </si>
  <si>
    <t>READING</t>
  </si>
  <si>
    <t>RICHFORD</t>
  </si>
  <si>
    <t>RICHMOND</t>
  </si>
  <si>
    <t>RIPTON</t>
  </si>
  <si>
    <t>ROCHESTER</t>
  </si>
  <si>
    <t>ROYALTON</t>
  </si>
  <si>
    <t>RUPERT</t>
  </si>
  <si>
    <t>RUTLAND TOWN</t>
  </si>
  <si>
    <t>RYEGATE</t>
  </si>
  <si>
    <t>SALISBURY</t>
  </si>
  <si>
    <t>SEARSBURG</t>
  </si>
  <si>
    <t>SHAFTSBURY</t>
  </si>
  <si>
    <t>SHEFFIELD</t>
  </si>
  <si>
    <t>SHELBURNE</t>
  </si>
  <si>
    <t>SHELDON</t>
  </si>
  <si>
    <t>SHOREHAM</t>
  </si>
  <si>
    <t>SOUTH BURLINGTON</t>
  </si>
  <si>
    <t>SOUTH HERO</t>
  </si>
  <si>
    <t>SPRINGFIELD</t>
  </si>
  <si>
    <t>ST. ALBANS CITY</t>
  </si>
  <si>
    <t>ST. ALBANS TOWN</t>
  </si>
  <si>
    <t>ST. GEORGE</t>
  </si>
  <si>
    <t>STARKSBORO</t>
  </si>
  <si>
    <t>STOCKBRIDGE</t>
  </si>
  <si>
    <t>STOWE</t>
  </si>
  <si>
    <t>STRAFFORD</t>
  </si>
  <si>
    <t>STRATTON</t>
  </si>
  <si>
    <t>SUDBURY</t>
  </si>
  <si>
    <t>THETFORD</t>
  </si>
  <si>
    <t>TINMOUTH</t>
  </si>
  <si>
    <t>How many voters were on your TM checklist 3/6/18?</t>
  </si>
  <si>
    <t>TOPSHAM</t>
  </si>
  <si>
    <t>TOWNSHEND</t>
  </si>
  <si>
    <t>TROY</t>
  </si>
  <si>
    <t>UNDERHILL</t>
  </si>
  <si>
    <t>VERGENNES</t>
  </si>
  <si>
    <t>VICTORY</t>
  </si>
  <si>
    <t>WAITSFIELD</t>
  </si>
  <si>
    <t>WALDEN</t>
  </si>
  <si>
    <t>WALLINGFORD</t>
  </si>
  <si>
    <t>WALTHAM</t>
  </si>
  <si>
    <t>WARDSBORO</t>
  </si>
  <si>
    <t>WARREN</t>
  </si>
  <si>
    <t>WATERBURY</t>
  </si>
  <si>
    <t>WATERFORD</t>
  </si>
  <si>
    <t>WATERVILLE</t>
  </si>
  <si>
    <t>WEST FAIRLEE</t>
  </si>
  <si>
    <t>WEST RUTLAND</t>
  </si>
  <si>
    <t>WEST WINDSOR</t>
  </si>
  <si>
    <t>WESTFIELD</t>
  </si>
  <si>
    <t>WESTFORD</t>
  </si>
  <si>
    <t>WESTMINSTER</t>
  </si>
  <si>
    <t>WESTON</t>
  </si>
  <si>
    <t>WEYBRIDGE</t>
  </si>
  <si>
    <t>WHEELOCK</t>
  </si>
  <si>
    <t xml:space="preserve">WHITING </t>
  </si>
  <si>
    <t>WILLIAMSTOWN</t>
  </si>
  <si>
    <t>WILLISTON</t>
  </si>
  <si>
    <t>WINDHAM</t>
  </si>
  <si>
    <t>WINDSOR</t>
  </si>
  <si>
    <t>WINHALL</t>
  </si>
  <si>
    <t>WINOOSKI</t>
  </si>
  <si>
    <t>WOLCOTT</t>
  </si>
  <si>
    <t>WOODBURY</t>
  </si>
  <si>
    <t>WOODFORD</t>
  </si>
  <si>
    <t xml:space="preserve">2018 ANNUAL MEETING - VOTER TURNOUT STATISTICS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</si>
</sst>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0" fontId="3" fillId="4" borderId="2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3" fontId="3" fillId="5" borderId="3" xfId="0" applyNumberFormat="1" applyFont="1" applyFill="1" applyBorder="1" applyAlignment="1">
      <alignment horizontal="center" vertical="center"/>
    </xf>
    <xf numFmtId="10" fontId="3" fillId="5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6"/>
  <sheetViews>
    <sheetView tabSelected="1" topLeftCell="B1" workbookViewId="0">
      <selection sqref="A1:H1"/>
    </sheetView>
  </sheetViews>
  <sheetFormatPr defaultColWidth="8.88671875" defaultRowHeight="13.8" x14ac:dyDescent="0.25"/>
  <cols>
    <col min="1" max="1" width="32.44140625" style="2" customWidth="1"/>
    <col min="2" max="8" width="26.33203125" style="2" customWidth="1"/>
    <col min="9" max="16384" width="8.88671875" style="2"/>
  </cols>
  <sheetData>
    <row r="1" spans="1:8" ht="54" customHeight="1" x14ac:dyDescent="0.25">
      <c r="A1" s="13" t="s">
        <v>233</v>
      </c>
      <c r="B1" s="14"/>
      <c r="C1" s="14"/>
      <c r="D1" s="14"/>
      <c r="E1" s="14"/>
      <c r="F1" s="14"/>
      <c r="G1" s="14"/>
      <c r="H1" s="14"/>
    </row>
    <row r="2" spans="1:8" ht="172.95" customHeight="1" x14ac:dyDescent="0.25">
      <c r="A2" s="1" t="s">
        <v>0</v>
      </c>
      <c r="B2" s="1" t="s">
        <v>198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ht="24.9" customHeight="1" x14ac:dyDescent="0.25">
      <c r="A3" s="3" t="s">
        <v>46</v>
      </c>
      <c r="B3" s="4">
        <v>1015</v>
      </c>
      <c r="C3" s="4"/>
      <c r="D3" s="4"/>
      <c r="E3" s="4">
        <v>265</v>
      </c>
      <c r="F3" s="5">
        <f>SUM(E3/B3)</f>
        <v>0.26108374384236455</v>
      </c>
      <c r="G3" s="4">
        <v>17</v>
      </c>
      <c r="H3" s="5">
        <f>SUM(G3/E3)</f>
        <v>6.4150943396226415E-2</v>
      </c>
    </row>
    <row r="4" spans="1:8" ht="24.9" customHeight="1" x14ac:dyDescent="0.25">
      <c r="A4" s="3" t="s">
        <v>9</v>
      </c>
      <c r="B4" s="4">
        <v>638</v>
      </c>
      <c r="C4" s="4">
        <v>97</v>
      </c>
      <c r="D4" s="5">
        <f>SUM(C4/B4)</f>
        <v>0.15203761755485892</v>
      </c>
      <c r="E4" s="4">
        <v>84</v>
      </c>
      <c r="F4" s="5">
        <f>SUM(E4/B4)</f>
        <v>0.13166144200626959</v>
      </c>
      <c r="G4" s="4"/>
      <c r="H4" s="5"/>
    </row>
    <row r="5" spans="1:8" ht="24.9" customHeight="1" x14ac:dyDescent="0.25">
      <c r="A5" s="3" t="s">
        <v>47</v>
      </c>
      <c r="B5" s="4">
        <v>400</v>
      </c>
      <c r="C5" s="4">
        <v>59</v>
      </c>
      <c r="D5" s="5">
        <f t="shared" ref="D5" si="0">SUM(C5/B5)</f>
        <v>0.14749999999999999</v>
      </c>
      <c r="E5" s="4"/>
      <c r="F5" s="5"/>
      <c r="G5" s="4"/>
      <c r="H5" s="5"/>
    </row>
    <row r="6" spans="1:8" ht="24.9" customHeight="1" x14ac:dyDescent="0.25">
      <c r="A6" s="3" t="s">
        <v>10</v>
      </c>
      <c r="B6" s="4">
        <v>1849</v>
      </c>
      <c r="C6" s="4"/>
      <c r="D6" s="5"/>
      <c r="E6" s="4">
        <v>323</v>
      </c>
      <c r="F6" s="5">
        <f t="shared" ref="F6:F10" si="1">SUM(E6/B6)</f>
        <v>0.17468902109248241</v>
      </c>
      <c r="G6" s="4">
        <v>26</v>
      </c>
      <c r="H6" s="5">
        <f t="shared" ref="H6:H12" si="2">SUM(G6/E6)</f>
        <v>8.0495356037151702E-2</v>
      </c>
    </row>
    <row r="7" spans="1:8" ht="24.9" customHeight="1" x14ac:dyDescent="0.25">
      <c r="A7" s="3" t="s">
        <v>48</v>
      </c>
      <c r="B7" s="4">
        <v>223</v>
      </c>
      <c r="C7" s="4">
        <v>54</v>
      </c>
      <c r="D7" s="5">
        <f t="shared" ref="D7:D16" si="3">SUM(C7/B7)</f>
        <v>0.24215246636771301</v>
      </c>
      <c r="E7" s="4"/>
      <c r="F7" s="5"/>
      <c r="G7" s="4"/>
      <c r="H7" s="5"/>
    </row>
    <row r="8" spans="1:8" ht="24.9" customHeight="1" x14ac:dyDescent="0.25">
      <c r="A8" s="3" t="s">
        <v>49</v>
      </c>
      <c r="B8" s="4">
        <v>901</v>
      </c>
      <c r="C8" s="4">
        <v>67</v>
      </c>
      <c r="D8" s="5">
        <f t="shared" si="3"/>
        <v>7.4361820199778023E-2</v>
      </c>
      <c r="E8" s="4">
        <v>211</v>
      </c>
      <c r="F8" s="5">
        <f t="shared" si="1"/>
        <v>0.23418423973362931</v>
      </c>
      <c r="G8" s="4">
        <v>12</v>
      </c>
      <c r="H8" s="5">
        <f t="shared" si="2"/>
        <v>5.6872037914691941E-2</v>
      </c>
    </row>
    <row r="9" spans="1:8" ht="24.9" customHeight="1" x14ac:dyDescent="0.25">
      <c r="A9" s="3" t="s">
        <v>50</v>
      </c>
      <c r="B9" s="4">
        <v>183</v>
      </c>
      <c r="C9" s="4">
        <v>27</v>
      </c>
      <c r="D9" s="5">
        <f t="shared" si="3"/>
        <v>0.14754098360655737</v>
      </c>
      <c r="E9" s="4"/>
      <c r="F9" s="5"/>
      <c r="G9" s="4"/>
      <c r="H9" s="5"/>
    </row>
    <row r="10" spans="1:8" ht="24.9" customHeight="1" x14ac:dyDescent="0.25">
      <c r="A10" s="3" t="s">
        <v>11</v>
      </c>
      <c r="B10" s="4">
        <v>705</v>
      </c>
      <c r="C10" s="4">
        <v>85</v>
      </c>
      <c r="D10" s="5">
        <f t="shared" si="3"/>
        <v>0.12056737588652482</v>
      </c>
      <c r="E10" s="4">
        <v>113</v>
      </c>
      <c r="F10" s="5">
        <f t="shared" si="1"/>
        <v>0.16028368794326242</v>
      </c>
      <c r="G10" s="4">
        <v>3</v>
      </c>
      <c r="H10" s="5">
        <f t="shared" si="2"/>
        <v>2.6548672566371681E-2</v>
      </c>
    </row>
    <row r="11" spans="1:8" ht="24.9" customHeight="1" x14ac:dyDescent="0.25">
      <c r="A11" s="3" t="s">
        <v>51</v>
      </c>
      <c r="B11" s="4">
        <v>1359</v>
      </c>
      <c r="C11" s="4">
        <v>140</v>
      </c>
      <c r="D11" s="5">
        <f t="shared" si="3"/>
        <v>0.10301692420897719</v>
      </c>
      <c r="E11" s="4">
        <v>102</v>
      </c>
      <c r="F11" s="5">
        <f t="shared" ref="F11:F13" si="4">SUM(E11/B11)</f>
        <v>7.505518763796909E-2</v>
      </c>
      <c r="G11" s="4"/>
      <c r="H11" s="5"/>
    </row>
    <row r="12" spans="1:8" ht="24.9" customHeight="1" x14ac:dyDescent="0.25">
      <c r="A12" s="3" t="s">
        <v>52</v>
      </c>
      <c r="B12" s="4">
        <v>5102</v>
      </c>
      <c r="C12" s="4"/>
      <c r="D12" s="5"/>
      <c r="E12" s="4">
        <v>1379</v>
      </c>
      <c r="F12" s="5">
        <f t="shared" si="4"/>
        <v>0.2702861622892983</v>
      </c>
      <c r="G12" s="4">
        <v>191</v>
      </c>
      <c r="H12" s="5">
        <f t="shared" si="2"/>
        <v>0.13850616388687453</v>
      </c>
    </row>
    <row r="13" spans="1:8" ht="24.9" customHeight="1" x14ac:dyDescent="0.25">
      <c r="A13" s="3" t="s">
        <v>53</v>
      </c>
      <c r="B13" s="4">
        <v>1819</v>
      </c>
      <c r="C13" s="4">
        <v>68</v>
      </c>
      <c r="D13" s="5">
        <f t="shared" si="3"/>
        <v>3.7383177570093455E-2</v>
      </c>
      <c r="E13" s="4">
        <v>171</v>
      </c>
      <c r="F13" s="5">
        <f t="shared" si="4"/>
        <v>9.4007696536558549E-2</v>
      </c>
      <c r="G13" s="4">
        <v>8</v>
      </c>
      <c r="H13" s="5">
        <f t="shared" ref="H13:H19" si="5">SUM(G13/E13)</f>
        <v>4.6783625730994149E-2</v>
      </c>
    </row>
    <row r="14" spans="1:8" ht="24.9" customHeight="1" x14ac:dyDescent="0.25">
      <c r="A14" s="3" t="s">
        <v>54</v>
      </c>
      <c r="B14" s="4">
        <v>218</v>
      </c>
      <c r="C14" s="4">
        <v>25</v>
      </c>
      <c r="D14" s="5">
        <f t="shared" si="3"/>
        <v>0.11467889908256881</v>
      </c>
      <c r="E14" s="4"/>
      <c r="F14" s="5"/>
      <c r="G14" s="4"/>
      <c r="H14" s="5"/>
    </row>
    <row r="15" spans="1:8" ht="24.9" customHeight="1" x14ac:dyDescent="0.25">
      <c r="A15" s="3" t="s">
        <v>55</v>
      </c>
      <c r="B15" s="4">
        <v>9089</v>
      </c>
      <c r="C15" s="4"/>
      <c r="D15" s="5"/>
      <c r="E15" s="4">
        <v>2446</v>
      </c>
      <c r="F15" s="5">
        <f>SUM(E15/B15)</f>
        <v>0.2691165144680383</v>
      </c>
      <c r="G15" s="4">
        <v>319</v>
      </c>
      <c r="H15" s="5">
        <f t="shared" si="5"/>
        <v>0.1304170073589534</v>
      </c>
    </row>
    <row r="16" spans="1:8" ht="24.9" customHeight="1" x14ac:dyDescent="0.25">
      <c r="A16" s="3" t="s">
        <v>56</v>
      </c>
      <c r="B16" s="4">
        <v>730</v>
      </c>
      <c r="C16" s="4">
        <v>50</v>
      </c>
      <c r="D16" s="5">
        <f t="shared" si="3"/>
        <v>6.8493150684931503E-2</v>
      </c>
      <c r="E16" s="4">
        <v>180</v>
      </c>
      <c r="F16" s="5">
        <f>SUM(E16/B16)</f>
        <v>0.24657534246575341</v>
      </c>
      <c r="G16" s="4">
        <v>16</v>
      </c>
      <c r="H16" s="5">
        <f t="shared" si="5"/>
        <v>8.8888888888888892E-2</v>
      </c>
    </row>
    <row r="17" spans="1:8" ht="24.9" customHeight="1" x14ac:dyDescent="0.25">
      <c r="A17" s="3" t="s">
        <v>57</v>
      </c>
      <c r="B17" s="4">
        <v>1012</v>
      </c>
      <c r="C17" s="4"/>
      <c r="D17" s="5"/>
      <c r="E17" s="4">
        <v>129</v>
      </c>
      <c r="F17" s="5">
        <f t="shared" ref="F17:F19" si="6">SUM(E17/B17)</f>
        <v>0.12747035573122531</v>
      </c>
      <c r="G17" s="4">
        <v>21</v>
      </c>
      <c r="H17" s="5">
        <f t="shared" si="5"/>
        <v>0.16279069767441862</v>
      </c>
    </row>
    <row r="18" spans="1:8" ht="24.9" customHeight="1" x14ac:dyDescent="0.25">
      <c r="A18" s="3" t="s">
        <v>58</v>
      </c>
      <c r="B18" s="4">
        <v>1362</v>
      </c>
      <c r="C18" s="4">
        <v>142</v>
      </c>
      <c r="D18" s="5">
        <f>SUM(C18/B18)</f>
        <v>0.10425844346549193</v>
      </c>
      <c r="E18" s="4"/>
      <c r="F18" s="5"/>
      <c r="G18" s="4"/>
      <c r="H18" s="5"/>
    </row>
    <row r="19" spans="1:8" ht="24.9" customHeight="1" x14ac:dyDescent="0.25">
      <c r="A19" s="3" t="s">
        <v>59</v>
      </c>
      <c r="B19" s="4">
        <v>1026</v>
      </c>
      <c r="C19" s="4">
        <v>90</v>
      </c>
      <c r="D19" s="5">
        <f>SUM(C19/B19)</f>
        <v>8.771929824561403E-2</v>
      </c>
      <c r="E19" s="4">
        <v>240</v>
      </c>
      <c r="F19" s="5">
        <f t="shared" si="6"/>
        <v>0.23391812865497075</v>
      </c>
      <c r="G19" s="4">
        <v>15</v>
      </c>
      <c r="H19" s="5">
        <f t="shared" si="5"/>
        <v>6.25E-2</v>
      </c>
    </row>
    <row r="20" spans="1:8" ht="24.9" customHeight="1" x14ac:dyDescent="0.25">
      <c r="A20" s="3" t="s">
        <v>60</v>
      </c>
      <c r="B20" s="4">
        <v>1774</v>
      </c>
      <c r="C20" s="4">
        <v>70</v>
      </c>
      <c r="D20" s="5">
        <f>SUM(C20/B20)</f>
        <v>3.9458850056369787E-2</v>
      </c>
      <c r="E20" s="4"/>
      <c r="F20" s="5"/>
      <c r="G20" s="4"/>
      <c r="H20" s="5"/>
    </row>
    <row r="21" spans="1:8" ht="24.9" customHeight="1" x14ac:dyDescent="0.25">
      <c r="A21" s="3" t="s">
        <v>61</v>
      </c>
      <c r="B21" s="4">
        <v>895</v>
      </c>
      <c r="C21" s="4">
        <v>65</v>
      </c>
      <c r="D21" s="5">
        <f>SUM(C21/B21)</f>
        <v>7.2625698324022353E-2</v>
      </c>
      <c r="E21" s="4"/>
      <c r="F21" s="5"/>
      <c r="G21" s="4"/>
      <c r="H21" s="5"/>
    </row>
    <row r="22" spans="1:8" ht="24.9" customHeight="1" x14ac:dyDescent="0.25">
      <c r="A22" s="3" t="s">
        <v>12</v>
      </c>
      <c r="B22" s="4">
        <v>2908</v>
      </c>
      <c r="C22" s="4"/>
      <c r="D22" s="5"/>
      <c r="E22" s="4">
        <v>632</v>
      </c>
      <c r="F22" s="5">
        <f>SUM(E22/B22)</f>
        <v>0.2173314993122421</v>
      </c>
      <c r="G22" s="4">
        <v>60</v>
      </c>
      <c r="H22" s="5">
        <f>SUM(G22/E22)</f>
        <v>9.49367088607595E-2</v>
      </c>
    </row>
    <row r="23" spans="1:8" ht="24.9" customHeight="1" x14ac:dyDescent="0.25">
      <c r="A23" s="3" t="s">
        <v>62</v>
      </c>
      <c r="B23" s="4">
        <v>8784</v>
      </c>
      <c r="C23" s="4"/>
      <c r="D23" s="5"/>
      <c r="E23" s="4">
        <v>1186</v>
      </c>
      <c r="F23" s="5">
        <f>SUM(E23/B23)</f>
        <v>0.13501821493624772</v>
      </c>
      <c r="G23" s="4">
        <v>305</v>
      </c>
      <c r="H23" s="5">
        <f t="shared" ref="H23" si="7">SUM(G23/E23)</f>
        <v>0.25716694772344012</v>
      </c>
    </row>
    <row r="24" spans="1:8" ht="24.9" customHeight="1" x14ac:dyDescent="0.25">
      <c r="A24" s="3" t="s">
        <v>63</v>
      </c>
      <c r="B24" s="4">
        <v>676</v>
      </c>
      <c r="C24" s="4">
        <v>98</v>
      </c>
      <c r="D24" s="5">
        <f t="shared" ref="D24:D26" si="8">SUM(C24/B24)</f>
        <v>0.14497041420118342</v>
      </c>
      <c r="E24" s="4"/>
      <c r="F24" s="5"/>
      <c r="G24" s="4"/>
      <c r="H24" s="5"/>
    </row>
    <row r="25" spans="1:8" ht="24.9" customHeight="1" x14ac:dyDescent="0.25">
      <c r="A25" s="3" t="s">
        <v>64</v>
      </c>
      <c r="B25" s="4">
        <v>854</v>
      </c>
      <c r="C25" s="4"/>
      <c r="D25" s="5"/>
      <c r="E25" s="4">
        <v>231</v>
      </c>
      <c r="F25" s="5">
        <f>SUM(E25/B25)</f>
        <v>0.27049180327868855</v>
      </c>
      <c r="G25" s="4">
        <v>5</v>
      </c>
      <c r="H25" s="5">
        <f>SUM(G25/E25)</f>
        <v>2.1645021645021644E-2</v>
      </c>
    </row>
    <row r="26" spans="1:8" ht="24.9" customHeight="1" x14ac:dyDescent="0.25">
      <c r="A26" s="3" t="s">
        <v>65</v>
      </c>
      <c r="B26" s="4">
        <v>871</v>
      </c>
      <c r="C26" s="4">
        <v>30</v>
      </c>
      <c r="D26" s="5">
        <f t="shared" si="8"/>
        <v>3.4443168771526977E-2</v>
      </c>
      <c r="E26" s="4">
        <v>154</v>
      </c>
      <c r="F26" s="5">
        <f>SUM(E26/B26)</f>
        <v>0.17680826636050517</v>
      </c>
      <c r="G26" s="4">
        <v>8</v>
      </c>
      <c r="H26" s="5">
        <f>SUM(G26/E26)</f>
        <v>5.1948051948051951E-2</v>
      </c>
    </row>
    <row r="27" spans="1:8" ht="24.9" customHeight="1" x14ac:dyDescent="0.25">
      <c r="A27" s="3" t="s">
        <v>66</v>
      </c>
      <c r="B27" s="4"/>
      <c r="C27" s="4"/>
      <c r="D27" s="5"/>
      <c r="E27" s="4">
        <v>982</v>
      </c>
      <c r="F27" s="5"/>
      <c r="G27" s="4">
        <v>121</v>
      </c>
      <c r="H27" s="5">
        <f>SUM(G27/E27)</f>
        <v>0.12321792260692464</v>
      </c>
    </row>
    <row r="28" spans="1:8" ht="24.9" customHeight="1" x14ac:dyDescent="0.25">
      <c r="A28" s="3" t="s">
        <v>67</v>
      </c>
      <c r="B28" s="4">
        <v>998</v>
      </c>
      <c r="C28" s="4"/>
      <c r="D28" s="5"/>
      <c r="E28" s="4">
        <v>166</v>
      </c>
      <c r="F28" s="5">
        <f t="shared" ref="F28" si="9">SUM(E28/B28)</f>
        <v>0.16633266533066132</v>
      </c>
      <c r="G28" s="4">
        <v>7</v>
      </c>
      <c r="H28" s="5">
        <f t="shared" ref="H28" si="10">SUM(G28/E28)</f>
        <v>4.2168674698795178E-2</v>
      </c>
    </row>
    <row r="29" spans="1:8" ht="24.9" customHeight="1" x14ac:dyDescent="0.25">
      <c r="A29" s="3" t="s">
        <v>68</v>
      </c>
      <c r="B29" s="4">
        <v>401</v>
      </c>
      <c r="C29" s="4">
        <v>32</v>
      </c>
      <c r="D29" s="5">
        <f>SUM(C29/B29)</f>
        <v>7.9800498753117205E-2</v>
      </c>
      <c r="E29" s="4"/>
      <c r="F29" s="5"/>
      <c r="G29" s="4"/>
      <c r="H29" s="5"/>
    </row>
    <row r="30" spans="1:8" ht="24.9" customHeight="1" x14ac:dyDescent="0.25">
      <c r="A30" s="3" t="s">
        <v>13</v>
      </c>
      <c r="B30" s="4">
        <v>68</v>
      </c>
      <c r="C30" s="4">
        <v>15</v>
      </c>
      <c r="D30" s="5">
        <f>SUM(C30/B30)</f>
        <v>0.22058823529411764</v>
      </c>
      <c r="E30" s="4"/>
      <c r="F30" s="5"/>
      <c r="G30" s="4"/>
      <c r="H30" s="5"/>
    </row>
    <row r="31" spans="1:8" ht="24.9" customHeight="1" x14ac:dyDescent="0.25">
      <c r="A31" s="3" t="s">
        <v>69</v>
      </c>
      <c r="B31" s="4">
        <v>1138</v>
      </c>
      <c r="C31" s="4"/>
      <c r="D31" s="5"/>
      <c r="E31" s="4">
        <v>239</v>
      </c>
      <c r="F31" s="5">
        <f t="shared" ref="F31:F39" si="11">SUM(E31/B31)</f>
        <v>0.21001757469244289</v>
      </c>
      <c r="G31" s="4">
        <v>11</v>
      </c>
      <c r="H31" s="5">
        <f t="shared" ref="H31:H38" si="12">SUM(G31/E31)</f>
        <v>4.6025104602510462E-2</v>
      </c>
    </row>
    <row r="32" spans="1:8" ht="24.9" customHeight="1" x14ac:dyDescent="0.25">
      <c r="A32" s="3" t="s">
        <v>70</v>
      </c>
      <c r="B32" s="4">
        <v>37019</v>
      </c>
      <c r="C32" s="4"/>
      <c r="D32" s="5"/>
      <c r="E32" s="4">
        <v>12064</v>
      </c>
      <c r="F32" s="5">
        <f t="shared" si="11"/>
        <v>0.32588670682622439</v>
      </c>
      <c r="G32" s="4">
        <v>2157</v>
      </c>
      <c r="H32" s="5">
        <f t="shared" si="12"/>
        <v>0.17879641909814323</v>
      </c>
    </row>
    <row r="33" spans="1:8" ht="24.9" customHeight="1" x14ac:dyDescent="0.25">
      <c r="A33" s="3" t="s">
        <v>71</v>
      </c>
      <c r="B33" s="4">
        <v>1069</v>
      </c>
      <c r="C33" s="4">
        <v>125</v>
      </c>
      <c r="D33" s="5">
        <f t="shared" ref="D33" si="13">SUM(C33/B33)</f>
        <v>0.11693171188026193</v>
      </c>
      <c r="E33" s="4">
        <v>588</v>
      </c>
      <c r="F33" s="5">
        <f t="shared" si="11"/>
        <v>0.55004677268475211</v>
      </c>
      <c r="G33" s="4">
        <v>100</v>
      </c>
      <c r="H33" s="5">
        <f t="shared" si="12"/>
        <v>0.17006802721088435</v>
      </c>
    </row>
    <row r="34" spans="1:8" ht="24.9" customHeight="1" x14ac:dyDescent="0.25">
      <c r="A34" s="3" t="s">
        <v>72</v>
      </c>
      <c r="B34" s="4">
        <v>1340</v>
      </c>
      <c r="C34" s="4">
        <v>120</v>
      </c>
      <c r="D34" s="5">
        <f>SUM(C34/B34)</f>
        <v>8.9552238805970144E-2</v>
      </c>
      <c r="E34" s="4">
        <v>330</v>
      </c>
      <c r="F34" s="5">
        <f t="shared" si="11"/>
        <v>0.2462686567164179</v>
      </c>
      <c r="G34" s="4">
        <v>57</v>
      </c>
      <c r="H34" s="5">
        <f>SUM(G34/E34)</f>
        <v>0.17272727272727273</v>
      </c>
    </row>
    <row r="35" spans="1:8" ht="24.9" customHeight="1" x14ac:dyDescent="0.25">
      <c r="A35" s="3" t="s">
        <v>73</v>
      </c>
      <c r="B35" s="4">
        <v>223</v>
      </c>
      <c r="C35" s="4">
        <v>208</v>
      </c>
      <c r="D35" s="5">
        <f t="shared" ref="D35:D42" si="14">SUM(C35/B35)</f>
        <v>0.93273542600896864</v>
      </c>
      <c r="E35" s="4">
        <v>318</v>
      </c>
      <c r="F35" s="5">
        <f t="shared" si="11"/>
        <v>1.4260089686098654</v>
      </c>
      <c r="G35" s="4">
        <v>12</v>
      </c>
      <c r="H35" s="5">
        <f t="shared" si="12"/>
        <v>3.7735849056603772E-2</v>
      </c>
    </row>
    <row r="36" spans="1:8" ht="24.9" customHeight="1" x14ac:dyDescent="0.25">
      <c r="A36" s="3" t="s">
        <v>14</v>
      </c>
      <c r="B36" s="4">
        <v>632</v>
      </c>
      <c r="C36" s="4">
        <v>55</v>
      </c>
      <c r="D36" s="5">
        <f t="shared" si="14"/>
        <v>8.7025316455696208E-2</v>
      </c>
      <c r="E36" s="4">
        <v>106</v>
      </c>
      <c r="F36" s="5">
        <f t="shared" si="11"/>
        <v>0.16772151898734178</v>
      </c>
      <c r="G36" s="4">
        <v>2</v>
      </c>
      <c r="H36" s="5">
        <f t="shared" si="12"/>
        <v>1.8867924528301886E-2</v>
      </c>
    </row>
    <row r="37" spans="1:8" ht="24.9" customHeight="1" x14ac:dyDescent="0.25">
      <c r="A37" s="3" t="s">
        <v>74</v>
      </c>
      <c r="B37" s="4">
        <v>2893</v>
      </c>
      <c r="C37" s="4"/>
      <c r="D37" s="5"/>
      <c r="E37" s="4">
        <v>523</v>
      </c>
      <c r="F37" s="5">
        <f t="shared" si="11"/>
        <v>0.18078119599032147</v>
      </c>
      <c r="G37" s="4">
        <v>75</v>
      </c>
      <c r="H37" s="5">
        <f t="shared" si="12"/>
        <v>0.14340344168260039</v>
      </c>
    </row>
    <row r="38" spans="1:8" ht="24.9" customHeight="1" x14ac:dyDescent="0.25">
      <c r="A38" s="3" t="s">
        <v>75</v>
      </c>
      <c r="B38" s="4">
        <v>1103</v>
      </c>
      <c r="C38" s="4"/>
      <c r="D38" s="5"/>
      <c r="E38" s="4">
        <v>212</v>
      </c>
      <c r="F38" s="5">
        <f t="shared" si="11"/>
        <v>0.19220308250226656</v>
      </c>
      <c r="G38" s="4">
        <v>13</v>
      </c>
      <c r="H38" s="5">
        <f t="shared" si="12"/>
        <v>6.1320754716981132E-2</v>
      </c>
    </row>
    <row r="39" spans="1:8" ht="24.9" customHeight="1" x14ac:dyDescent="0.25">
      <c r="A39" s="3" t="s">
        <v>76</v>
      </c>
      <c r="B39" s="4">
        <v>686</v>
      </c>
      <c r="C39" s="4"/>
      <c r="D39" s="5"/>
      <c r="E39" s="4">
        <v>60</v>
      </c>
      <c r="F39" s="5">
        <f t="shared" si="11"/>
        <v>8.7463556851311949E-2</v>
      </c>
      <c r="G39" s="4"/>
      <c r="H39" s="5"/>
    </row>
    <row r="40" spans="1:8" ht="24.9" customHeight="1" x14ac:dyDescent="0.25">
      <c r="A40" s="3" t="s">
        <v>77</v>
      </c>
      <c r="B40" s="4">
        <v>3100</v>
      </c>
      <c r="C40" s="4">
        <v>130</v>
      </c>
      <c r="D40" s="5">
        <f t="shared" si="14"/>
        <v>4.1935483870967745E-2</v>
      </c>
      <c r="E40" s="4">
        <v>640</v>
      </c>
      <c r="F40" s="5">
        <f t="shared" ref="F40:F54" si="15">SUM(E40/B40)</f>
        <v>0.20645161290322581</v>
      </c>
      <c r="G40" s="4">
        <v>97</v>
      </c>
      <c r="H40" s="5">
        <f t="shared" ref="H40:H54" si="16">SUM(G40/E40)</f>
        <v>0.15156249999999999</v>
      </c>
    </row>
    <row r="41" spans="1:8" ht="24.9" customHeight="1" x14ac:dyDescent="0.25">
      <c r="A41" s="3" t="s">
        <v>78</v>
      </c>
      <c r="B41" s="4">
        <v>124</v>
      </c>
      <c r="C41" s="4">
        <v>124</v>
      </c>
      <c r="D41" s="5">
        <f t="shared" si="14"/>
        <v>1</v>
      </c>
      <c r="E41" s="4"/>
      <c r="F41" s="5"/>
      <c r="G41" s="4"/>
      <c r="H41" s="5"/>
    </row>
    <row r="42" spans="1:8" ht="24.9" customHeight="1" x14ac:dyDescent="0.25">
      <c r="A42" s="3" t="s">
        <v>79</v>
      </c>
      <c r="B42" s="4">
        <v>2292</v>
      </c>
      <c r="C42" s="4">
        <v>75</v>
      </c>
      <c r="D42" s="5">
        <f t="shared" si="14"/>
        <v>3.2722513089005235E-2</v>
      </c>
      <c r="E42" s="4">
        <v>438</v>
      </c>
      <c r="F42" s="5">
        <f t="shared" si="15"/>
        <v>0.19109947643979058</v>
      </c>
      <c r="G42" s="4">
        <v>22</v>
      </c>
      <c r="H42" s="5">
        <f t="shared" si="16"/>
        <v>5.0228310502283102E-2</v>
      </c>
    </row>
    <row r="43" spans="1:8" ht="24.9" customHeight="1" x14ac:dyDescent="0.25">
      <c r="A43" s="3" t="s">
        <v>80</v>
      </c>
      <c r="B43" s="4">
        <v>1065</v>
      </c>
      <c r="C43" s="4"/>
      <c r="D43" s="5"/>
      <c r="E43" s="4">
        <v>269</v>
      </c>
      <c r="F43" s="5">
        <f t="shared" si="15"/>
        <v>0.25258215962441316</v>
      </c>
      <c r="G43" s="4">
        <v>16</v>
      </c>
      <c r="H43" s="5">
        <f t="shared" si="16"/>
        <v>5.9479553903345722E-2</v>
      </c>
    </row>
    <row r="44" spans="1:8" ht="24.9" customHeight="1" x14ac:dyDescent="0.25">
      <c r="A44" s="3" t="s">
        <v>81</v>
      </c>
      <c r="B44" s="4">
        <v>1893</v>
      </c>
      <c r="C44" s="4"/>
      <c r="D44" s="5"/>
      <c r="E44" s="4">
        <v>435</v>
      </c>
      <c r="F44" s="5">
        <f t="shared" si="15"/>
        <v>0.22979397781299524</v>
      </c>
      <c r="G44" s="4">
        <v>26</v>
      </c>
      <c r="H44" s="5">
        <f t="shared" si="16"/>
        <v>5.9770114942528735E-2</v>
      </c>
    </row>
    <row r="45" spans="1:8" ht="24.9" customHeight="1" x14ac:dyDescent="0.25">
      <c r="A45" s="3" t="s">
        <v>82</v>
      </c>
      <c r="B45" s="4">
        <v>10318</v>
      </c>
      <c r="C45" s="4"/>
      <c r="D45" s="5"/>
      <c r="E45" s="4">
        <v>2703</v>
      </c>
      <c r="F45" s="5">
        <f t="shared" si="15"/>
        <v>0.2619693739096724</v>
      </c>
      <c r="G45" s="4">
        <v>572</v>
      </c>
      <c r="H45" s="5">
        <f t="shared" si="16"/>
        <v>0.21161672216056235</v>
      </c>
    </row>
    <row r="46" spans="1:8" ht="24.9" customHeight="1" x14ac:dyDescent="0.25">
      <c r="A46" s="3" t="s">
        <v>83</v>
      </c>
      <c r="B46" s="4">
        <v>835</v>
      </c>
      <c r="C46" s="4"/>
      <c r="D46" s="5"/>
      <c r="E46" s="4">
        <v>174</v>
      </c>
      <c r="F46" s="5">
        <f t="shared" si="15"/>
        <v>0.20838323353293414</v>
      </c>
      <c r="G46" s="4">
        <v>31</v>
      </c>
      <c r="H46" s="5">
        <f t="shared" si="16"/>
        <v>0.17816091954022989</v>
      </c>
    </row>
    <row r="47" spans="1:8" ht="24.9" customHeight="1" x14ac:dyDescent="0.25">
      <c r="A47" s="3" t="s">
        <v>84</v>
      </c>
      <c r="B47" s="4">
        <v>975</v>
      </c>
      <c r="C47" s="4"/>
      <c r="D47" s="5"/>
      <c r="E47" s="4">
        <v>162</v>
      </c>
      <c r="F47" s="5">
        <f t="shared" si="15"/>
        <v>0.16615384615384615</v>
      </c>
      <c r="G47" s="4">
        <v>8</v>
      </c>
      <c r="H47" s="5">
        <f t="shared" si="16"/>
        <v>4.9382716049382713E-2</v>
      </c>
    </row>
    <row r="48" spans="1:8" ht="24.9" customHeight="1" x14ac:dyDescent="0.25">
      <c r="A48" s="3" t="s">
        <v>85</v>
      </c>
      <c r="B48" s="4">
        <v>959</v>
      </c>
      <c r="C48" s="4">
        <v>100</v>
      </c>
      <c r="D48" s="5">
        <f>SUM(C48/B48)</f>
        <v>0.10427528675703858</v>
      </c>
      <c r="E48" s="4">
        <v>208</v>
      </c>
      <c r="F48" s="5">
        <f t="shared" si="15"/>
        <v>0.21689259645464026</v>
      </c>
      <c r="G48" s="4">
        <v>7</v>
      </c>
      <c r="H48" s="5">
        <f t="shared" si="16"/>
        <v>3.3653846153846152E-2</v>
      </c>
    </row>
    <row r="49" spans="1:8" ht="24.9" customHeight="1" x14ac:dyDescent="0.25">
      <c r="A49" s="3" t="s">
        <v>86</v>
      </c>
      <c r="B49" s="4">
        <v>872</v>
      </c>
      <c r="C49" s="4">
        <v>131</v>
      </c>
      <c r="D49" s="5">
        <f t="shared" ref="D49:D50" si="17">SUM(C49/B49)</f>
        <v>0.15022935779816513</v>
      </c>
      <c r="E49" s="4"/>
      <c r="F49" s="5"/>
      <c r="G49" s="4"/>
      <c r="H49" s="5"/>
    </row>
    <row r="50" spans="1:8" ht="24.9" customHeight="1" x14ac:dyDescent="0.25">
      <c r="A50" s="3" t="s">
        <v>87</v>
      </c>
      <c r="B50" s="4">
        <v>1762</v>
      </c>
      <c r="C50" s="4">
        <v>196</v>
      </c>
      <c r="D50" s="5">
        <f t="shared" si="17"/>
        <v>0.1112372304199773</v>
      </c>
      <c r="E50" s="4">
        <v>237</v>
      </c>
      <c r="F50" s="5">
        <f t="shared" si="15"/>
        <v>0.13450624290578889</v>
      </c>
      <c r="G50" s="4">
        <v>7</v>
      </c>
      <c r="H50" s="5">
        <f t="shared" si="16"/>
        <v>2.9535864978902954E-2</v>
      </c>
    </row>
    <row r="51" spans="1:8" ht="24.9" customHeight="1" x14ac:dyDescent="0.25">
      <c r="A51" s="3" t="s">
        <v>88</v>
      </c>
      <c r="B51" s="4">
        <v>3225</v>
      </c>
      <c r="C51" s="4">
        <v>50</v>
      </c>
      <c r="D51" s="5">
        <f>SUM(C51/B51)</f>
        <v>1.5503875968992248E-2</v>
      </c>
      <c r="E51" s="4">
        <v>533</v>
      </c>
      <c r="F51" s="5">
        <f t="shared" si="15"/>
        <v>0.16527131782945736</v>
      </c>
      <c r="G51" s="4"/>
      <c r="H51" s="5"/>
    </row>
    <row r="52" spans="1:8" ht="24.9" customHeight="1" x14ac:dyDescent="0.25">
      <c r="A52" s="3" t="s">
        <v>15</v>
      </c>
      <c r="B52" s="4">
        <v>1685</v>
      </c>
      <c r="C52" s="4">
        <v>125</v>
      </c>
      <c r="D52" s="5">
        <f>SUM(C52/B52)</f>
        <v>7.418397626112759E-2</v>
      </c>
      <c r="E52" s="4">
        <v>274</v>
      </c>
      <c r="F52" s="5">
        <f t="shared" si="15"/>
        <v>0.1626112759643917</v>
      </c>
      <c r="G52" s="4">
        <v>13</v>
      </c>
      <c r="H52" s="5">
        <f t="shared" si="16"/>
        <v>4.7445255474452552E-2</v>
      </c>
    </row>
    <row r="53" spans="1:8" ht="24.9" customHeight="1" x14ac:dyDescent="0.25">
      <c r="A53" s="3" t="s">
        <v>89</v>
      </c>
      <c r="B53" s="4">
        <v>1212</v>
      </c>
      <c r="C53" s="4"/>
      <c r="D53" s="5"/>
      <c r="E53" s="4">
        <v>150</v>
      </c>
      <c r="F53" s="5">
        <f t="shared" si="15"/>
        <v>0.12376237623762376</v>
      </c>
      <c r="G53" s="4">
        <v>11</v>
      </c>
      <c r="H53" s="5">
        <f t="shared" si="16"/>
        <v>7.3333333333333334E-2</v>
      </c>
    </row>
    <row r="54" spans="1:8" ht="24.9" customHeight="1" x14ac:dyDescent="0.25">
      <c r="A54" s="3" t="s">
        <v>16</v>
      </c>
      <c r="B54" s="4">
        <v>1600</v>
      </c>
      <c r="C54" s="4"/>
      <c r="D54" s="5"/>
      <c r="E54" s="4">
        <v>328</v>
      </c>
      <c r="F54" s="5">
        <f t="shared" si="15"/>
        <v>0.20499999999999999</v>
      </c>
      <c r="G54" s="4">
        <v>41</v>
      </c>
      <c r="H54" s="5">
        <f t="shared" si="16"/>
        <v>0.125</v>
      </c>
    </row>
    <row r="55" spans="1:8" ht="24.9" customHeight="1" x14ac:dyDescent="0.25">
      <c r="A55" s="3" t="s">
        <v>90</v>
      </c>
      <c r="B55" s="4">
        <v>1092</v>
      </c>
      <c r="C55" s="4">
        <v>105</v>
      </c>
      <c r="D55" s="5">
        <f>SUM(C55/B55)</f>
        <v>9.6153846153846159E-2</v>
      </c>
      <c r="E55" s="4">
        <v>220</v>
      </c>
      <c r="F55" s="5">
        <f>SUM(E55/B55)</f>
        <v>0.20146520146520147</v>
      </c>
      <c r="G55" s="4">
        <v>1</v>
      </c>
      <c r="H55" s="5">
        <f>SUM(G55/E55)</f>
        <v>4.5454545454545452E-3</v>
      </c>
    </row>
    <row r="56" spans="1:8" ht="24.9" customHeight="1" x14ac:dyDescent="0.25">
      <c r="A56" s="3" t="s">
        <v>91</v>
      </c>
      <c r="B56" s="4">
        <v>2176</v>
      </c>
      <c r="C56" s="4"/>
      <c r="D56" s="5"/>
      <c r="E56" s="4">
        <v>570</v>
      </c>
      <c r="F56" s="5">
        <f>SUM(E56/B56)</f>
        <v>0.26194852941176472</v>
      </c>
      <c r="G56" s="4">
        <v>70</v>
      </c>
      <c r="H56" s="5">
        <f>SUM(G56/E56)</f>
        <v>0.12280701754385964</v>
      </c>
    </row>
    <row r="57" spans="1:8" ht="24.9" customHeight="1" x14ac:dyDescent="0.25">
      <c r="A57" s="3" t="s">
        <v>92</v>
      </c>
      <c r="B57" s="4">
        <v>824</v>
      </c>
      <c r="C57" s="4">
        <v>75</v>
      </c>
      <c r="D57" s="5">
        <f t="shared" ref="D57" si="18">SUM(C57/B57)</f>
        <v>9.1019417475728157E-2</v>
      </c>
      <c r="E57" s="4"/>
      <c r="F57" s="5"/>
      <c r="G57" s="4"/>
      <c r="H57" s="5"/>
    </row>
    <row r="58" spans="1:8" ht="24.9" customHeight="1" x14ac:dyDescent="0.25">
      <c r="A58" s="3" t="s">
        <v>93</v>
      </c>
      <c r="B58" s="4">
        <v>704</v>
      </c>
      <c r="C58" s="4">
        <v>84</v>
      </c>
      <c r="D58" s="5">
        <f t="shared" ref="D58:D68" si="19">SUM(C58/B58)</f>
        <v>0.11931818181818182</v>
      </c>
      <c r="E58" s="4">
        <v>84</v>
      </c>
      <c r="F58" s="5">
        <f>SUM(E58/B58)</f>
        <v>0.11931818181818182</v>
      </c>
      <c r="G58" s="4">
        <v>3</v>
      </c>
      <c r="H58" s="5">
        <f>SUM(G58/E58)</f>
        <v>3.5714285714285712E-2</v>
      </c>
    </row>
    <row r="59" spans="1:8" ht="24.9" customHeight="1" x14ac:dyDescent="0.25">
      <c r="A59" s="3" t="s">
        <v>17</v>
      </c>
      <c r="B59" s="4">
        <v>1928</v>
      </c>
      <c r="C59" s="4">
        <v>86</v>
      </c>
      <c r="D59" s="5">
        <f t="shared" si="19"/>
        <v>4.4605809128630707E-2</v>
      </c>
      <c r="E59" s="4">
        <v>154</v>
      </c>
      <c r="F59" s="5">
        <f>SUM(E59/B59)</f>
        <v>7.9875518672199164E-2</v>
      </c>
      <c r="G59" s="4">
        <v>2</v>
      </c>
      <c r="H59" s="5">
        <f t="shared" ref="H59:H62" si="20">SUM(G59/E59)</f>
        <v>1.2987012987012988E-2</v>
      </c>
    </row>
    <row r="60" spans="1:8" ht="24.9" customHeight="1" x14ac:dyDescent="0.25">
      <c r="A60" s="3" t="s">
        <v>94</v>
      </c>
      <c r="B60" s="4">
        <v>15776</v>
      </c>
      <c r="C60" s="4"/>
      <c r="D60" s="5"/>
      <c r="E60" s="4">
        <v>1990</v>
      </c>
      <c r="F60" s="5">
        <f t="shared" ref="F60:F62" si="21">SUM(E60/B60)</f>
        <v>0.12614097363083165</v>
      </c>
      <c r="G60" s="4">
        <v>290</v>
      </c>
      <c r="H60" s="5">
        <f t="shared" si="20"/>
        <v>0.14572864321608039</v>
      </c>
    </row>
    <row r="61" spans="1:8" ht="24.9" customHeight="1" x14ac:dyDescent="0.25">
      <c r="A61" s="3" t="s">
        <v>18</v>
      </c>
      <c r="B61" s="4">
        <v>1726</v>
      </c>
      <c r="C61" s="4"/>
      <c r="D61" s="5"/>
      <c r="E61" s="4">
        <v>445</v>
      </c>
      <c r="F61" s="5">
        <f t="shared" si="21"/>
        <v>0.25782155272305912</v>
      </c>
      <c r="G61" s="4">
        <v>44</v>
      </c>
      <c r="H61" s="5">
        <f t="shared" si="20"/>
        <v>9.8876404494382023E-2</v>
      </c>
    </row>
    <row r="62" spans="1:8" ht="24.9" customHeight="1" x14ac:dyDescent="0.25">
      <c r="A62" s="3" t="s">
        <v>19</v>
      </c>
      <c r="B62" s="4">
        <v>3810</v>
      </c>
      <c r="C62" s="4"/>
      <c r="D62" s="5"/>
      <c r="E62" s="4">
        <v>983</v>
      </c>
      <c r="F62" s="5">
        <f t="shared" si="21"/>
        <v>0.25800524934383201</v>
      </c>
      <c r="G62" s="4">
        <v>47</v>
      </c>
      <c r="H62" s="5">
        <f t="shared" si="20"/>
        <v>4.7812817904374368E-2</v>
      </c>
    </row>
    <row r="63" spans="1:8" ht="24.9" customHeight="1" x14ac:dyDescent="0.25">
      <c r="A63" s="3" t="s">
        <v>95</v>
      </c>
      <c r="B63" s="4">
        <v>1360</v>
      </c>
      <c r="C63" s="4">
        <v>100</v>
      </c>
      <c r="D63" s="5">
        <f t="shared" si="19"/>
        <v>7.3529411764705885E-2</v>
      </c>
      <c r="E63" s="4">
        <v>197</v>
      </c>
      <c r="F63" s="5">
        <f>SUM(E63/B63)</f>
        <v>0.1448529411764706</v>
      </c>
      <c r="G63" s="4">
        <v>5</v>
      </c>
      <c r="H63" s="5">
        <f>SUM(G63/E63)</f>
        <v>2.5380710659898477E-2</v>
      </c>
    </row>
    <row r="64" spans="1:8" ht="24.9" customHeight="1" x14ac:dyDescent="0.25">
      <c r="A64" s="3" t="s">
        <v>96</v>
      </c>
      <c r="B64" s="4">
        <v>734</v>
      </c>
      <c r="C64" s="4">
        <v>79</v>
      </c>
      <c r="D64" s="5">
        <f t="shared" si="19"/>
        <v>0.10762942779291552</v>
      </c>
      <c r="E64" s="4"/>
      <c r="F64" s="5"/>
      <c r="G64" s="4"/>
      <c r="H64" s="5"/>
    </row>
    <row r="65" spans="1:8" ht="24.9" customHeight="1" x14ac:dyDescent="0.25">
      <c r="A65" s="3" t="s">
        <v>97</v>
      </c>
      <c r="B65" s="4">
        <v>2174</v>
      </c>
      <c r="C65" s="4">
        <v>130</v>
      </c>
      <c r="D65" s="5">
        <f t="shared" si="19"/>
        <v>5.979760809567617E-2</v>
      </c>
      <c r="E65" s="4">
        <v>556</v>
      </c>
      <c r="F65" s="5">
        <f>SUM(E65/B65)</f>
        <v>0.25574977000919963</v>
      </c>
      <c r="G65" s="4">
        <v>117</v>
      </c>
      <c r="H65" s="5">
        <f>SUM(G65/E65)</f>
        <v>0.21043165467625899</v>
      </c>
    </row>
    <row r="66" spans="1:8" ht="24.9" customHeight="1" x14ac:dyDescent="0.25">
      <c r="A66" s="3" t="s">
        <v>98</v>
      </c>
      <c r="B66" s="4">
        <v>968</v>
      </c>
      <c r="C66" s="4">
        <v>136</v>
      </c>
      <c r="D66" s="5">
        <f t="shared" si="19"/>
        <v>0.14049586776859505</v>
      </c>
      <c r="E66" s="4"/>
      <c r="F66" s="5"/>
      <c r="G66" s="4"/>
      <c r="H66" s="5"/>
    </row>
    <row r="67" spans="1:8" ht="24.9" customHeight="1" x14ac:dyDescent="0.25">
      <c r="A67" s="3" t="s">
        <v>99</v>
      </c>
      <c r="B67" s="4">
        <v>913</v>
      </c>
      <c r="C67" s="4">
        <v>95</v>
      </c>
      <c r="D67" s="5">
        <f t="shared" si="19"/>
        <v>0.10405257393209201</v>
      </c>
      <c r="E67" s="4">
        <v>147</v>
      </c>
      <c r="F67" s="5">
        <f>SUM(E67/B67)</f>
        <v>0.16100766703176342</v>
      </c>
      <c r="G67" s="4">
        <v>7</v>
      </c>
      <c r="H67" s="5">
        <f>SUM(G67/E67)</f>
        <v>4.7619047619047616E-2</v>
      </c>
    </row>
    <row r="68" spans="1:8" ht="24.9" customHeight="1" x14ac:dyDescent="0.25">
      <c r="A68" s="3" t="s">
        <v>100</v>
      </c>
      <c r="B68" s="4">
        <v>3602</v>
      </c>
      <c r="C68" s="4">
        <v>91</v>
      </c>
      <c r="D68" s="5">
        <f t="shared" si="19"/>
        <v>2.526374236535258E-2</v>
      </c>
      <c r="E68" s="4">
        <v>626</v>
      </c>
      <c r="F68" s="5">
        <f t="shared" ref="F68:F70" si="22">SUM(E68/B68)</f>
        <v>0.17379233759022766</v>
      </c>
      <c r="G68" s="4">
        <v>68</v>
      </c>
      <c r="H68" s="5">
        <f t="shared" ref="H68:H70" si="23">SUM(G68/E68)</f>
        <v>0.10862619808306709</v>
      </c>
    </row>
    <row r="69" spans="1:8" ht="24.9" customHeight="1" x14ac:dyDescent="0.25">
      <c r="A69" s="3" t="s">
        <v>20</v>
      </c>
      <c r="B69" s="4">
        <v>796</v>
      </c>
      <c r="C69" s="4">
        <v>80</v>
      </c>
      <c r="D69" s="5">
        <f>SUM(C69/B69)</f>
        <v>0.10050251256281408</v>
      </c>
      <c r="E69" s="4"/>
      <c r="F69" s="5"/>
      <c r="G69" s="4"/>
      <c r="H69" s="5"/>
    </row>
    <row r="70" spans="1:8" ht="24.9" customHeight="1" x14ac:dyDescent="0.25">
      <c r="A70" s="3" t="s">
        <v>101</v>
      </c>
      <c r="B70" s="4">
        <v>163</v>
      </c>
      <c r="C70" s="4">
        <v>25</v>
      </c>
      <c r="D70" s="5">
        <f>SUM(C70/B70)</f>
        <v>0.15337423312883436</v>
      </c>
      <c r="E70" s="4">
        <v>69</v>
      </c>
      <c r="F70" s="5">
        <f t="shared" si="22"/>
        <v>0.42331288343558282</v>
      </c>
      <c r="G70" s="4">
        <v>4</v>
      </c>
      <c r="H70" s="5">
        <f t="shared" si="23"/>
        <v>5.7971014492753624E-2</v>
      </c>
    </row>
    <row r="71" spans="1:8" ht="24.9" customHeight="1" x14ac:dyDescent="0.25">
      <c r="A71" s="3" t="s">
        <v>21</v>
      </c>
      <c r="B71" s="4">
        <v>520</v>
      </c>
      <c r="C71" s="4">
        <v>74</v>
      </c>
      <c r="D71" s="5">
        <f t="shared" ref="D71:D74" si="24">SUM(C71/B71)</f>
        <v>0.1423076923076923</v>
      </c>
      <c r="E71" s="4">
        <v>189</v>
      </c>
      <c r="F71" s="5">
        <f t="shared" ref="F71:F78" si="25">SUM(E71/B71)</f>
        <v>0.36346153846153845</v>
      </c>
      <c r="G71" s="4">
        <v>25</v>
      </c>
      <c r="H71" s="5">
        <f t="shared" ref="H71:H78" si="26">SUM(G71/E71)</f>
        <v>0.13227513227513227</v>
      </c>
    </row>
    <row r="72" spans="1:8" ht="24.9" customHeight="1" x14ac:dyDescent="0.25">
      <c r="A72" s="3" t="s">
        <v>102</v>
      </c>
      <c r="B72" s="4">
        <v>62</v>
      </c>
      <c r="C72" s="4">
        <v>17</v>
      </c>
      <c r="D72" s="5">
        <f t="shared" si="24"/>
        <v>0.27419354838709675</v>
      </c>
      <c r="E72" s="4">
        <v>19</v>
      </c>
      <c r="F72" s="5">
        <f t="shared" si="25"/>
        <v>0.30645161290322581</v>
      </c>
      <c r="G72" s="4">
        <v>1</v>
      </c>
      <c r="H72" s="5">
        <f t="shared" si="26"/>
        <v>5.2631578947368418E-2</v>
      </c>
    </row>
    <row r="73" spans="1:8" ht="24.9" customHeight="1" x14ac:dyDescent="0.25">
      <c r="A73" s="3" t="s">
        <v>103</v>
      </c>
      <c r="B73" s="4">
        <v>1519</v>
      </c>
      <c r="C73" s="4"/>
      <c r="D73" s="5"/>
      <c r="E73" s="4">
        <v>691</v>
      </c>
      <c r="F73" s="5">
        <f t="shared" si="25"/>
        <v>0.45490454246214612</v>
      </c>
      <c r="G73" s="4">
        <v>114</v>
      </c>
      <c r="H73" s="5">
        <f t="shared" si="26"/>
        <v>0.16497829232995659</v>
      </c>
    </row>
    <row r="74" spans="1:8" ht="24.9" customHeight="1" x14ac:dyDescent="0.25">
      <c r="A74" s="3" t="s">
        <v>104</v>
      </c>
      <c r="B74" s="4">
        <v>229</v>
      </c>
      <c r="C74" s="4">
        <v>48</v>
      </c>
      <c r="D74" s="5">
        <f t="shared" si="24"/>
        <v>0.20960698689956331</v>
      </c>
      <c r="E74" s="4"/>
      <c r="F74" s="5"/>
      <c r="G74" s="4"/>
      <c r="H74" s="5"/>
    </row>
    <row r="75" spans="1:8" ht="24.9" customHeight="1" x14ac:dyDescent="0.25">
      <c r="A75" s="3" t="s">
        <v>105</v>
      </c>
      <c r="B75" s="4">
        <v>140</v>
      </c>
      <c r="C75" s="4">
        <v>127</v>
      </c>
      <c r="D75" s="5">
        <f>SUM(C75/B75)</f>
        <v>0.90714285714285714</v>
      </c>
      <c r="E75" s="4"/>
      <c r="F75" s="5"/>
      <c r="G75" s="4"/>
      <c r="H75" s="5"/>
    </row>
    <row r="76" spans="1:8" ht="24.9" customHeight="1" x14ac:dyDescent="0.25">
      <c r="A76" s="3" t="s">
        <v>22</v>
      </c>
      <c r="B76" s="4">
        <v>727</v>
      </c>
      <c r="C76" s="4">
        <v>110</v>
      </c>
      <c r="D76" s="5">
        <f>SUM(C76/B76)</f>
        <v>0.15130674002751032</v>
      </c>
      <c r="E76" s="4">
        <v>168</v>
      </c>
      <c r="F76" s="5">
        <f t="shared" si="25"/>
        <v>0.23108665749656121</v>
      </c>
      <c r="G76" s="4">
        <v>18</v>
      </c>
      <c r="H76" s="5">
        <f t="shared" si="26"/>
        <v>0.10714285714285714</v>
      </c>
    </row>
    <row r="77" spans="1:8" ht="24.9" customHeight="1" x14ac:dyDescent="0.25">
      <c r="A77" s="3" t="s">
        <v>106</v>
      </c>
      <c r="B77" s="4">
        <v>196</v>
      </c>
      <c r="C77" s="4">
        <v>25</v>
      </c>
      <c r="D77" s="5">
        <f t="shared" ref="D77" si="27">SUM(C77/B77)</f>
        <v>0.12755102040816327</v>
      </c>
      <c r="E77" s="4">
        <v>54</v>
      </c>
      <c r="F77" s="5">
        <f t="shared" si="25"/>
        <v>0.27551020408163263</v>
      </c>
      <c r="G77" s="4">
        <v>8</v>
      </c>
      <c r="H77" s="5">
        <f t="shared" si="26"/>
        <v>0.14814814814814814</v>
      </c>
    </row>
    <row r="78" spans="1:8" ht="24.9" customHeight="1" x14ac:dyDescent="0.25">
      <c r="A78" s="3" t="s">
        <v>107</v>
      </c>
      <c r="B78" s="4">
        <v>1701</v>
      </c>
      <c r="C78" s="4"/>
      <c r="D78" s="5"/>
      <c r="E78" s="4">
        <v>319</v>
      </c>
      <c r="F78" s="5">
        <f t="shared" si="25"/>
        <v>0.18753674309229865</v>
      </c>
      <c r="G78" s="4">
        <v>38</v>
      </c>
      <c r="H78" s="5">
        <f t="shared" si="26"/>
        <v>0.11912225705329153</v>
      </c>
    </row>
    <row r="79" spans="1:8" ht="24.9" customHeight="1" x14ac:dyDescent="0.25">
      <c r="A79" s="3" t="s">
        <v>23</v>
      </c>
      <c r="B79" s="4">
        <v>550</v>
      </c>
      <c r="C79" s="4">
        <v>75</v>
      </c>
      <c r="D79" s="5">
        <f>SUM(C79/B79)</f>
        <v>0.13636363636363635</v>
      </c>
      <c r="E79" s="4">
        <v>195</v>
      </c>
      <c r="F79" s="5">
        <f>SUM(E79/B79)</f>
        <v>0.35454545454545455</v>
      </c>
      <c r="G79" s="4">
        <v>38</v>
      </c>
      <c r="H79" s="5">
        <f>SUM(G79/E79)</f>
        <v>0.19487179487179487</v>
      </c>
    </row>
    <row r="80" spans="1:8" ht="24.9" customHeight="1" x14ac:dyDescent="0.25">
      <c r="A80" s="3" t="s">
        <v>24</v>
      </c>
      <c r="B80" s="4">
        <v>291</v>
      </c>
      <c r="C80" s="4">
        <v>40</v>
      </c>
      <c r="D80" s="5">
        <f>SUM(C80/B80)</f>
        <v>0.13745704467353953</v>
      </c>
      <c r="E80" s="4"/>
      <c r="F80" s="5"/>
      <c r="G80" s="4"/>
      <c r="H80" s="5"/>
    </row>
    <row r="81" spans="1:8" ht="24.9" customHeight="1" x14ac:dyDescent="0.25">
      <c r="A81" s="3" t="s">
        <v>108</v>
      </c>
      <c r="B81" s="4">
        <v>8775</v>
      </c>
      <c r="C81" s="4"/>
      <c r="D81" s="5"/>
      <c r="E81" s="4">
        <v>1520</v>
      </c>
      <c r="F81" s="5">
        <f>SUM(E81/B81)</f>
        <v>0.17321937321937322</v>
      </c>
      <c r="G81" s="4">
        <v>168</v>
      </c>
      <c r="H81" s="5">
        <f>SUM(G81/E81)</f>
        <v>0.11052631578947368</v>
      </c>
    </row>
    <row r="82" spans="1:8" ht="24.9" customHeight="1" x14ac:dyDescent="0.25">
      <c r="A82" s="3" t="s">
        <v>109</v>
      </c>
      <c r="B82" s="4">
        <v>2600</v>
      </c>
      <c r="C82" s="4">
        <v>170</v>
      </c>
      <c r="D82" s="5">
        <f>SUM(C82/B82)</f>
        <v>6.5384615384615388E-2</v>
      </c>
      <c r="E82" s="4">
        <v>534</v>
      </c>
      <c r="F82" s="5">
        <f>SUM(E82/B82)</f>
        <v>0.20538461538461539</v>
      </c>
      <c r="G82" s="4">
        <v>534</v>
      </c>
      <c r="H82" s="5">
        <f>SUM(G82/E82)</f>
        <v>1</v>
      </c>
    </row>
    <row r="83" spans="1:8" ht="24.9" customHeight="1" x14ac:dyDescent="0.25">
      <c r="A83" s="3" t="s">
        <v>25</v>
      </c>
      <c r="B83" s="4">
        <v>2114</v>
      </c>
      <c r="C83" s="4">
        <v>140</v>
      </c>
      <c r="D83" s="5">
        <f>SUM(C83/B83)</f>
        <v>6.6225165562913912E-2</v>
      </c>
      <c r="E83" s="4">
        <v>374</v>
      </c>
      <c r="F83" s="5">
        <f>SUM(E83/B83)</f>
        <v>0.17691579943235572</v>
      </c>
      <c r="G83" s="4">
        <v>19</v>
      </c>
      <c r="H83" s="5">
        <f>SUM(G83/E83)</f>
        <v>5.0802139037433157E-2</v>
      </c>
    </row>
    <row r="84" spans="1:8" ht="24.9" customHeight="1" x14ac:dyDescent="0.25">
      <c r="A84" s="3" t="s">
        <v>110</v>
      </c>
      <c r="B84" s="4">
        <v>4005</v>
      </c>
      <c r="C84" s="4"/>
      <c r="D84" s="5"/>
      <c r="E84" s="4">
        <v>686</v>
      </c>
      <c r="F84" s="5">
        <f>SUM(E84/B84)</f>
        <v>0.17128589263420724</v>
      </c>
      <c r="G84" s="4">
        <v>100</v>
      </c>
      <c r="H84" s="5">
        <f>SUM(G84/E84)</f>
        <v>0.1457725947521866</v>
      </c>
    </row>
    <row r="85" spans="1:8" ht="24.9" customHeight="1" x14ac:dyDescent="0.25">
      <c r="A85" s="3" t="s">
        <v>111</v>
      </c>
      <c r="B85" s="4">
        <v>402</v>
      </c>
      <c r="C85" s="4"/>
      <c r="D85" s="5"/>
      <c r="E85" s="4">
        <v>85</v>
      </c>
      <c r="F85" s="5"/>
      <c r="G85" s="4">
        <v>12</v>
      </c>
      <c r="H85" s="5">
        <f>SUM(G85/E85)</f>
        <v>0.14117647058823529</v>
      </c>
    </row>
    <row r="86" spans="1:8" ht="24.9" customHeight="1" x14ac:dyDescent="0.25">
      <c r="A86" s="3" t="s">
        <v>112</v>
      </c>
      <c r="B86" s="4">
        <v>513</v>
      </c>
      <c r="C86" s="4"/>
      <c r="D86" s="5"/>
      <c r="E86" s="4">
        <v>155</v>
      </c>
      <c r="F86" s="5">
        <f t="shared" ref="F86" si="28">SUM(E86/B86)</f>
        <v>0.30214424951267055</v>
      </c>
      <c r="G86" s="4">
        <v>10</v>
      </c>
      <c r="H86" s="5">
        <f t="shared" ref="H86" si="29">SUM(G86/E86)</f>
        <v>6.4516129032258063E-2</v>
      </c>
    </row>
    <row r="87" spans="1:8" ht="24.9" customHeight="1" x14ac:dyDescent="0.25">
      <c r="A87" s="3" t="s">
        <v>26</v>
      </c>
      <c r="B87" s="4">
        <v>1607</v>
      </c>
      <c r="C87" s="4"/>
      <c r="D87" s="5"/>
      <c r="E87" s="4">
        <v>552</v>
      </c>
      <c r="F87" s="5">
        <f>SUM(E87/B87)</f>
        <v>0.343497199751089</v>
      </c>
      <c r="G87" s="4">
        <v>34</v>
      </c>
      <c r="H87" s="5">
        <f>SUM(G87/E87)</f>
        <v>6.1594202898550728E-2</v>
      </c>
    </row>
    <row r="88" spans="1:8" ht="24.9" customHeight="1" x14ac:dyDescent="0.25">
      <c r="A88" s="3" t="s">
        <v>113</v>
      </c>
      <c r="B88" s="4">
        <v>2139</v>
      </c>
      <c r="C88" s="4">
        <v>104</v>
      </c>
      <c r="D88" s="5">
        <f t="shared" ref="D88:D92" si="30">SUM(C88/B88)</f>
        <v>4.8620850864890139E-2</v>
      </c>
      <c r="E88" s="4">
        <v>238</v>
      </c>
      <c r="F88" s="5">
        <f>SUM(E88/B88)</f>
        <v>0.11126694717157551</v>
      </c>
      <c r="G88" s="4">
        <v>24</v>
      </c>
      <c r="H88" s="5">
        <f>SUM(G88/E88)</f>
        <v>0.10084033613445378</v>
      </c>
    </row>
    <row r="89" spans="1:8" ht="24.9" customHeight="1" x14ac:dyDescent="0.25">
      <c r="A89" s="3" t="s">
        <v>114</v>
      </c>
      <c r="B89" s="4">
        <v>312</v>
      </c>
      <c r="C89" s="4">
        <v>36</v>
      </c>
      <c r="D89" s="5">
        <f t="shared" si="30"/>
        <v>0.11538461538461539</v>
      </c>
      <c r="E89" s="4">
        <v>66</v>
      </c>
      <c r="F89" s="5">
        <f t="shared" ref="F89:F91" si="31">SUM(E89/B89)</f>
        <v>0.21153846153846154</v>
      </c>
      <c r="G89" s="4"/>
      <c r="H89" s="5"/>
    </row>
    <row r="90" spans="1:8" ht="24.9" customHeight="1" x14ac:dyDescent="0.25">
      <c r="A90" s="3" t="s">
        <v>115</v>
      </c>
      <c r="B90" s="4">
        <v>756</v>
      </c>
      <c r="C90" s="4">
        <v>100</v>
      </c>
      <c r="D90" s="5">
        <f t="shared" si="30"/>
        <v>0.13227513227513227</v>
      </c>
      <c r="E90" s="4"/>
      <c r="F90" s="5"/>
      <c r="G90" s="4"/>
      <c r="H90" s="5"/>
    </row>
    <row r="91" spans="1:8" ht="24.9" customHeight="1" x14ac:dyDescent="0.25">
      <c r="A91" s="3" t="s">
        <v>116</v>
      </c>
      <c r="B91" s="4">
        <v>411</v>
      </c>
      <c r="C91" s="4">
        <v>41</v>
      </c>
      <c r="D91" s="5">
        <f t="shared" si="30"/>
        <v>9.9756690997566913E-2</v>
      </c>
      <c r="E91" s="4">
        <v>166</v>
      </c>
      <c r="F91" s="5">
        <f t="shared" si="31"/>
        <v>0.40389294403892945</v>
      </c>
      <c r="G91" s="4">
        <v>29</v>
      </c>
      <c r="H91" s="5">
        <f t="shared" ref="H91" si="32">SUM(G91/E91)</f>
        <v>0.1746987951807229</v>
      </c>
    </row>
    <row r="92" spans="1:8" ht="24.9" customHeight="1" x14ac:dyDescent="0.25">
      <c r="A92" s="3" t="s">
        <v>117</v>
      </c>
      <c r="B92" s="4">
        <v>698</v>
      </c>
      <c r="C92" s="4">
        <v>85</v>
      </c>
      <c r="D92" s="5">
        <f t="shared" si="30"/>
        <v>0.12177650429799428</v>
      </c>
      <c r="E92" s="4"/>
      <c r="F92" s="5"/>
      <c r="G92" s="4"/>
      <c r="H92" s="5"/>
    </row>
    <row r="93" spans="1:8" ht="24.9" customHeight="1" x14ac:dyDescent="0.25">
      <c r="A93" s="3" t="s">
        <v>118</v>
      </c>
      <c r="B93" s="4">
        <v>377</v>
      </c>
      <c r="C93" s="4">
        <v>69</v>
      </c>
      <c r="D93" s="5">
        <f>SUM(C93/B93)</f>
        <v>0.1830238726790451</v>
      </c>
      <c r="E93" s="4">
        <v>70</v>
      </c>
      <c r="F93" s="5">
        <f>SUM(E93/B93)</f>
        <v>0.1856763925729443</v>
      </c>
      <c r="G93" s="4"/>
      <c r="H93" s="5"/>
    </row>
    <row r="94" spans="1:8" ht="24.9" customHeight="1" x14ac:dyDescent="0.25">
      <c r="A94" s="3" t="s">
        <v>119</v>
      </c>
      <c r="B94" s="4">
        <v>4141</v>
      </c>
      <c r="C94" s="4">
        <v>200</v>
      </c>
      <c r="D94" s="5">
        <f t="shared" ref="D94:D95" si="33">SUM(C94/B94)</f>
        <v>4.8297512678097079E-2</v>
      </c>
      <c r="E94" s="4">
        <v>708</v>
      </c>
      <c r="F94" s="5">
        <f>SUM(E94/B94)</f>
        <v>0.17097319488046367</v>
      </c>
      <c r="G94" s="4">
        <v>163</v>
      </c>
      <c r="H94" s="5">
        <f>SUM(G94/E94)</f>
        <v>0.23022598870056496</v>
      </c>
    </row>
    <row r="95" spans="1:8" ht="24.9" customHeight="1" x14ac:dyDescent="0.25">
      <c r="A95" s="3" t="s">
        <v>120</v>
      </c>
      <c r="B95" s="4">
        <v>2208</v>
      </c>
      <c r="C95" s="4">
        <v>162</v>
      </c>
      <c r="D95" s="5">
        <f t="shared" si="33"/>
        <v>7.3369565217391311E-2</v>
      </c>
      <c r="E95" s="4">
        <v>250</v>
      </c>
      <c r="F95" s="5">
        <f>SUM(E95/B95)</f>
        <v>0.11322463768115942</v>
      </c>
      <c r="G95" s="4">
        <v>15</v>
      </c>
      <c r="H95" s="5">
        <f>SUM(G95/E95)</f>
        <v>0.06</v>
      </c>
    </row>
    <row r="96" spans="1:8" ht="24.9" customHeight="1" x14ac:dyDescent="0.25">
      <c r="A96" s="3" t="s">
        <v>121</v>
      </c>
      <c r="B96" s="4">
        <v>946</v>
      </c>
      <c r="C96" s="4"/>
      <c r="D96" s="5"/>
      <c r="E96" s="4">
        <v>380</v>
      </c>
      <c r="F96" s="5">
        <f>SUM(E96/B96)</f>
        <v>0.40169133192389006</v>
      </c>
      <c r="G96" s="4">
        <v>54</v>
      </c>
      <c r="H96" s="5">
        <f>SUM(G96/E96)</f>
        <v>0.14210526315789473</v>
      </c>
    </row>
    <row r="97" spans="1:8" ht="24.9" customHeight="1" x14ac:dyDescent="0.25">
      <c r="A97" s="3" t="s">
        <v>122</v>
      </c>
      <c r="B97" s="4">
        <v>349</v>
      </c>
      <c r="C97" s="4">
        <v>50</v>
      </c>
      <c r="D97" s="5">
        <f t="shared" ref="D97:D103" si="34">SUM(C97/B97)</f>
        <v>0.14326647564469913</v>
      </c>
      <c r="E97" s="4">
        <v>42</v>
      </c>
      <c r="F97" s="5">
        <f>SUM(E97/B97)</f>
        <v>0.12034383954154727</v>
      </c>
      <c r="G97" s="4">
        <v>2</v>
      </c>
      <c r="H97" s="5">
        <f>SUM(G97/E97)</f>
        <v>4.7619047619047616E-2</v>
      </c>
    </row>
    <row r="98" spans="1:8" ht="24.9" customHeight="1" x14ac:dyDescent="0.25">
      <c r="A98" s="3" t="s">
        <v>123</v>
      </c>
      <c r="B98" s="4">
        <v>114</v>
      </c>
      <c r="C98" s="4">
        <v>37</v>
      </c>
      <c r="D98" s="5">
        <f t="shared" si="34"/>
        <v>0.32456140350877194</v>
      </c>
      <c r="E98" s="4"/>
      <c r="F98" s="5"/>
      <c r="G98" s="4"/>
      <c r="H98" s="5"/>
    </row>
    <row r="99" spans="1:8" ht="24.9" customHeight="1" x14ac:dyDescent="0.25">
      <c r="A99" s="3" t="s">
        <v>124</v>
      </c>
      <c r="B99" s="4">
        <v>709</v>
      </c>
      <c r="C99" s="4">
        <v>28</v>
      </c>
      <c r="D99" s="5">
        <f t="shared" si="34"/>
        <v>3.9492242595204514E-2</v>
      </c>
      <c r="E99" s="4">
        <v>119</v>
      </c>
      <c r="F99" s="5">
        <f t="shared" ref="F99:F106" si="35">SUM(E99/B99)</f>
        <v>0.16784203102961917</v>
      </c>
      <c r="G99" s="4">
        <v>7</v>
      </c>
      <c r="H99" s="5">
        <f t="shared" ref="H99:H106" si="36">SUM(G99/E99)</f>
        <v>5.8823529411764705E-2</v>
      </c>
    </row>
    <row r="100" spans="1:8" ht="24.9" customHeight="1" x14ac:dyDescent="0.25">
      <c r="A100" s="3" t="s">
        <v>125</v>
      </c>
      <c r="B100" s="4">
        <v>76</v>
      </c>
      <c r="C100" s="4">
        <v>15</v>
      </c>
      <c r="D100" s="5">
        <f t="shared" si="34"/>
        <v>0.19736842105263158</v>
      </c>
      <c r="E100" s="4">
        <v>13</v>
      </c>
      <c r="F100" s="5">
        <f t="shared" si="35"/>
        <v>0.17105263157894737</v>
      </c>
      <c r="G100" s="4"/>
      <c r="H100" s="5"/>
    </row>
    <row r="101" spans="1:8" ht="24.9" customHeight="1" x14ac:dyDescent="0.25">
      <c r="A101" s="3" t="s">
        <v>126</v>
      </c>
      <c r="B101" s="4">
        <v>1069</v>
      </c>
      <c r="C101" s="4">
        <v>125</v>
      </c>
      <c r="D101" s="5">
        <f t="shared" si="34"/>
        <v>0.11693171188026193</v>
      </c>
      <c r="E101" s="4">
        <v>490</v>
      </c>
      <c r="F101" s="5">
        <f t="shared" si="35"/>
        <v>0.45837231057062677</v>
      </c>
      <c r="G101" s="4">
        <v>51</v>
      </c>
      <c r="H101" s="5">
        <f t="shared" si="36"/>
        <v>0.10408163265306122</v>
      </c>
    </row>
    <row r="102" spans="1:8" ht="24.9" customHeight="1" x14ac:dyDescent="0.25">
      <c r="A102" s="3" t="s">
        <v>127</v>
      </c>
      <c r="B102" s="4">
        <v>1407</v>
      </c>
      <c r="C102" s="4">
        <v>114</v>
      </c>
      <c r="D102" s="5">
        <f t="shared" si="34"/>
        <v>8.1023454157782518E-2</v>
      </c>
      <c r="E102" s="4">
        <v>115</v>
      </c>
      <c r="F102" s="5">
        <f t="shared" si="35"/>
        <v>8.1734186211798149E-2</v>
      </c>
      <c r="G102" s="4">
        <v>1</v>
      </c>
      <c r="H102" s="5">
        <f t="shared" si="36"/>
        <v>8.6956521739130436E-3</v>
      </c>
    </row>
    <row r="103" spans="1:8" ht="24.9" customHeight="1" x14ac:dyDescent="0.25">
      <c r="A103" s="3" t="s">
        <v>128</v>
      </c>
      <c r="B103" s="4">
        <v>598</v>
      </c>
      <c r="C103" s="4">
        <v>86</v>
      </c>
      <c r="D103" s="5">
        <f t="shared" si="34"/>
        <v>0.14381270903010032</v>
      </c>
      <c r="E103" s="4">
        <v>62</v>
      </c>
      <c r="F103" s="5">
        <f t="shared" si="35"/>
        <v>0.10367892976588629</v>
      </c>
      <c r="G103" s="4"/>
      <c r="H103" s="5"/>
    </row>
    <row r="104" spans="1:8" ht="24.9" customHeight="1" x14ac:dyDescent="0.25">
      <c r="A104" s="3" t="s">
        <v>129</v>
      </c>
      <c r="B104" s="4">
        <v>1592</v>
      </c>
      <c r="C104" s="4"/>
      <c r="D104" s="5"/>
      <c r="E104" s="4">
        <v>232</v>
      </c>
      <c r="F104" s="5">
        <f t="shared" si="35"/>
        <v>0.14572864321608039</v>
      </c>
      <c r="G104" s="4">
        <v>11</v>
      </c>
      <c r="H104" s="5">
        <f t="shared" si="36"/>
        <v>4.7413793103448273E-2</v>
      </c>
    </row>
    <row r="105" spans="1:8" ht="24.9" customHeight="1" x14ac:dyDescent="0.25">
      <c r="A105" s="3" t="s">
        <v>130</v>
      </c>
      <c r="B105" s="4">
        <v>1037</v>
      </c>
      <c r="C105" s="4"/>
      <c r="D105" s="5"/>
      <c r="E105" s="4">
        <v>107</v>
      </c>
      <c r="F105" s="5">
        <f t="shared" si="35"/>
        <v>0.10318225650916105</v>
      </c>
      <c r="G105" s="4">
        <v>6</v>
      </c>
      <c r="H105" s="5">
        <f t="shared" si="36"/>
        <v>5.6074766355140186E-2</v>
      </c>
    </row>
    <row r="106" spans="1:8" ht="24.9" customHeight="1" x14ac:dyDescent="0.25">
      <c r="A106" s="3" t="s">
        <v>131</v>
      </c>
      <c r="B106" s="4">
        <v>3252</v>
      </c>
      <c r="C106" s="4">
        <v>126</v>
      </c>
      <c r="D106" s="5">
        <f>SUM(C106/B106)</f>
        <v>3.8745387453874541E-2</v>
      </c>
      <c r="E106" s="4">
        <v>472</v>
      </c>
      <c r="F106" s="5">
        <f t="shared" si="35"/>
        <v>0.14514145141451415</v>
      </c>
      <c r="G106" s="4">
        <v>38</v>
      </c>
      <c r="H106" s="5">
        <f t="shared" si="36"/>
        <v>8.050847457627118E-2</v>
      </c>
    </row>
    <row r="107" spans="1:8" ht="24.9" customHeight="1" x14ac:dyDescent="0.25">
      <c r="A107" s="3" t="s">
        <v>132</v>
      </c>
      <c r="B107" s="4">
        <v>159</v>
      </c>
      <c r="C107" s="4"/>
      <c r="D107" s="5"/>
      <c r="E107" s="4">
        <v>46</v>
      </c>
      <c r="F107" s="5">
        <f t="shared" ref="F107:F111" si="37">SUM(E107/B107)</f>
        <v>0.28930817610062892</v>
      </c>
      <c r="G107" s="4">
        <v>2</v>
      </c>
      <c r="H107" s="5">
        <f t="shared" ref="H107:H112" si="38">SUM(G107/E107)</f>
        <v>4.3478260869565216E-2</v>
      </c>
    </row>
    <row r="108" spans="1:8" ht="24.9" customHeight="1" x14ac:dyDescent="0.25">
      <c r="A108" s="3" t="s">
        <v>133</v>
      </c>
      <c r="B108" s="4">
        <v>3740</v>
      </c>
      <c r="C108" s="4">
        <v>213</v>
      </c>
      <c r="D108" s="5">
        <f>SUM(C108/B108)</f>
        <v>5.6951871657754012E-2</v>
      </c>
      <c r="E108" s="4">
        <v>645</v>
      </c>
      <c r="F108" s="5">
        <f t="shared" si="37"/>
        <v>0.17245989304812834</v>
      </c>
      <c r="G108" s="4">
        <v>94</v>
      </c>
      <c r="H108" s="5">
        <f t="shared" si="38"/>
        <v>0.14573643410852713</v>
      </c>
    </row>
    <row r="109" spans="1:8" ht="24.9" customHeight="1" x14ac:dyDescent="0.25">
      <c r="A109" s="3" t="s">
        <v>134</v>
      </c>
      <c r="B109" s="4">
        <v>685</v>
      </c>
      <c r="C109" s="4"/>
      <c r="D109" s="5"/>
      <c r="E109" s="4">
        <v>166</v>
      </c>
      <c r="F109" s="5">
        <f t="shared" si="37"/>
        <v>0.24233576642335766</v>
      </c>
      <c r="G109" s="4">
        <v>13</v>
      </c>
      <c r="H109" s="5">
        <f t="shared" si="38"/>
        <v>7.8313253012048195E-2</v>
      </c>
    </row>
    <row r="110" spans="1:8" ht="24.9" customHeight="1" x14ac:dyDescent="0.25">
      <c r="A110" s="3" t="s">
        <v>135</v>
      </c>
      <c r="B110" s="4">
        <v>1138</v>
      </c>
      <c r="C110" s="4">
        <v>150</v>
      </c>
      <c r="D110" s="5">
        <f>SUM(C110/B110)</f>
        <v>0.13181019332161686</v>
      </c>
      <c r="E110" s="4">
        <v>238</v>
      </c>
      <c r="F110" s="5">
        <f t="shared" si="37"/>
        <v>0.20913884007029876</v>
      </c>
      <c r="G110" s="4">
        <v>19</v>
      </c>
      <c r="H110" s="5">
        <f t="shared" si="38"/>
        <v>7.9831932773109238E-2</v>
      </c>
    </row>
    <row r="111" spans="1:8" ht="24.9" customHeight="1" x14ac:dyDescent="0.25">
      <c r="A111" s="3" t="s">
        <v>136</v>
      </c>
      <c r="B111" s="4">
        <v>882</v>
      </c>
      <c r="C111" s="4">
        <v>35</v>
      </c>
      <c r="D111" s="5">
        <f t="shared" ref="D111" si="39">SUM(C111/B111)</f>
        <v>3.968253968253968E-2</v>
      </c>
      <c r="E111" s="4">
        <v>105</v>
      </c>
      <c r="F111" s="5">
        <f t="shared" si="37"/>
        <v>0.11904761904761904</v>
      </c>
      <c r="G111" s="4">
        <v>5</v>
      </c>
      <c r="H111" s="5">
        <f t="shared" si="38"/>
        <v>4.7619047619047616E-2</v>
      </c>
    </row>
    <row r="112" spans="1:8" ht="24.9" customHeight="1" x14ac:dyDescent="0.25">
      <c r="A112" s="3" t="s">
        <v>137</v>
      </c>
      <c r="B112" s="4"/>
      <c r="C112" s="4">
        <v>162</v>
      </c>
      <c r="D112" s="5"/>
      <c r="E112" s="4">
        <v>1167</v>
      </c>
      <c r="F112" s="5"/>
      <c r="G112" s="4">
        <v>233</v>
      </c>
      <c r="H112" s="5">
        <f t="shared" si="38"/>
        <v>0.19965724078834618</v>
      </c>
    </row>
    <row r="113" spans="1:8" ht="24.9" customHeight="1" x14ac:dyDescent="0.25">
      <c r="A113" s="3" t="s">
        <v>27</v>
      </c>
      <c r="B113" s="4">
        <v>1416</v>
      </c>
      <c r="C113" s="4"/>
      <c r="D113" s="5"/>
      <c r="E113" s="4">
        <v>466</v>
      </c>
      <c r="F113" s="5">
        <f>SUM(E113/B113)</f>
        <v>0.32909604519774011</v>
      </c>
      <c r="G113" s="4">
        <v>82</v>
      </c>
      <c r="H113" s="5">
        <f>SUM(G113/E113)</f>
        <v>0.17596566523605151</v>
      </c>
    </row>
    <row r="114" spans="1:8" ht="24.9" customHeight="1" x14ac:dyDescent="0.25">
      <c r="A114" s="3" t="s">
        <v>138</v>
      </c>
      <c r="B114" s="4">
        <v>8349</v>
      </c>
      <c r="C114" s="4"/>
      <c r="D114" s="5"/>
      <c r="E114" s="4">
        <v>1779</v>
      </c>
      <c r="F114" s="5">
        <f>SUM(E114/B114)</f>
        <v>0.2130794107078692</v>
      </c>
      <c r="G114" s="4">
        <v>264</v>
      </c>
      <c r="H114" s="5">
        <f>SUM(G114/E114)</f>
        <v>0.14839797639123103</v>
      </c>
    </row>
    <row r="115" spans="1:8" ht="24.9" customHeight="1" x14ac:dyDescent="0.25">
      <c r="A115" s="3" t="s">
        <v>139</v>
      </c>
      <c r="B115" s="4">
        <v>1568</v>
      </c>
      <c r="C115" s="4"/>
      <c r="D115" s="5"/>
      <c r="E115" s="4">
        <v>605</v>
      </c>
      <c r="F115" s="5">
        <f>SUM(E115/B115)</f>
        <v>0.38584183673469385</v>
      </c>
      <c r="G115" s="4">
        <v>73</v>
      </c>
      <c r="H115" s="5">
        <f>SUM(G115/E115)</f>
        <v>0.12066115702479339</v>
      </c>
    </row>
    <row r="116" spans="1:8" ht="24.9" customHeight="1" x14ac:dyDescent="0.25">
      <c r="A116" s="3" t="s">
        <v>140</v>
      </c>
      <c r="B116" s="4">
        <v>909</v>
      </c>
      <c r="C116" s="4">
        <v>90</v>
      </c>
      <c r="D116" s="5">
        <f>SUM(C116/B116)</f>
        <v>9.9009900990099015E-2</v>
      </c>
      <c r="E116" s="4"/>
      <c r="F116" s="5"/>
      <c r="G116" s="4"/>
      <c r="H116" s="5"/>
    </row>
    <row r="117" spans="1:8" ht="24.9" customHeight="1" x14ac:dyDescent="0.25">
      <c r="A117" s="3" t="s">
        <v>141</v>
      </c>
      <c r="B117" s="4">
        <v>7347</v>
      </c>
      <c r="C117" s="4"/>
      <c r="D117" s="5"/>
      <c r="E117" s="4">
        <v>2327</v>
      </c>
      <c r="F117" s="5">
        <f t="shared" ref="F117" si="40">SUM(E117/B117)</f>
        <v>0.31672791615625423</v>
      </c>
      <c r="G117" s="4"/>
      <c r="H117" s="5"/>
    </row>
    <row r="118" spans="1:8" ht="24.9" customHeight="1" x14ac:dyDescent="0.25">
      <c r="A118" s="3" t="s">
        <v>28</v>
      </c>
      <c r="B118" s="4">
        <v>1419</v>
      </c>
      <c r="C118" s="4"/>
      <c r="D118" s="5"/>
      <c r="E118" s="4">
        <v>343</v>
      </c>
      <c r="F118" s="5">
        <f>SUM(E118/B118)</f>
        <v>0.24171952078928824</v>
      </c>
      <c r="G118" s="4">
        <v>343</v>
      </c>
      <c r="H118" s="5">
        <f>SUM(G118/E118)</f>
        <v>1</v>
      </c>
    </row>
    <row r="119" spans="1:8" ht="24.9" customHeight="1" x14ac:dyDescent="0.25">
      <c r="A119" s="3" t="s">
        <v>142</v>
      </c>
      <c r="B119" s="4">
        <v>3610</v>
      </c>
      <c r="C119" s="4">
        <v>163</v>
      </c>
      <c r="D119" s="5">
        <f>SUM(C119/B119)</f>
        <v>4.515235457063712E-2</v>
      </c>
      <c r="E119" s="4">
        <v>594</v>
      </c>
      <c r="F119" s="5">
        <f>SUM(E119/B119)</f>
        <v>0.16454293628808864</v>
      </c>
      <c r="G119" s="4">
        <v>57</v>
      </c>
      <c r="H119" s="5">
        <f>SUM(G119/E119)</f>
        <v>9.5959595959595953E-2</v>
      </c>
    </row>
    <row r="120" spans="1:8" ht="24.9" customHeight="1" x14ac:dyDescent="0.25">
      <c r="A120" s="3" t="s">
        <v>143</v>
      </c>
      <c r="B120" s="4">
        <v>1023</v>
      </c>
      <c r="C120" s="4"/>
      <c r="D120" s="5"/>
      <c r="E120" s="4">
        <v>231</v>
      </c>
      <c r="F120" s="5">
        <f>SUM(E120/B120)</f>
        <v>0.22580645161290322</v>
      </c>
      <c r="G120" s="4">
        <v>17</v>
      </c>
      <c r="H120" s="5">
        <f>SUM(G120/E120)</f>
        <v>7.3593073593073599E-2</v>
      </c>
    </row>
    <row r="121" spans="1:8" ht="24.9" customHeight="1" x14ac:dyDescent="0.25">
      <c r="A121" s="3" t="s">
        <v>144</v>
      </c>
      <c r="B121" s="4">
        <v>146</v>
      </c>
      <c r="C121" s="4">
        <v>16</v>
      </c>
      <c r="D121" s="5">
        <f>SUM(C121/B121)</f>
        <v>0.1095890410958904</v>
      </c>
      <c r="E121" s="4">
        <v>24</v>
      </c>
      <c r="F121" s="5">
        <f>SUM(E121/B121)</f>
        <v>0.16438356164383561</v>
      </c>
      <c r="G121" s="4"/>
      <c r="H121" s="5"/>
    </row>
    <row r="122" spans="1:8" ht="24.9" customHeight="1" x14ac:dyDescent="0.25">
      <c r="A122" s="3" t="s">
        <v>145</v>
      </c>
      <c r="B122" s="4">
        <v>1279</v>
      </c>
      <c r="C122" s="4"/>
      <c r="D122" s="5"/>
      <c r="E122" s="4">
        <v>514</v>
      </c>
      <c r="F122" s="5">
        <f>SUM(E122/B122)</f>
        <v>0.40187646598905397</v>
      </c>
      <c r="G122" s="4"/>
      <c r="H122" s="5"/>
    </row>
    <row r="123" spans="1:8" ht="24.9" customHeight="1" x14ac:dyDescent="0.25">
      <c r="A123" s="3" t="s">
        <v>146</v>
      </c>
      <c r="B123" s="4">
        <v>1627</v>
      </c>
      <c r="C123" s="4">
        <v>100</v>
      </c>
      <c r="D123" s="5">
        <f t="shared" ref="D123:D133" si="41">SUM(C123/B123)</f>
        <v>6.1462814996926858E-2</v>
      </c>
      <c r="E123" s="4">
        <v>199</v>
      </c>
      <c r="F123" s="5">
        <f t="shared" ref="F123:F124" si="42">SUM(E123/B123)</f>
        <v>0.12231100184388445</v>
      </c>
      <c r="G123" s="4">
        <v>35</v>
      </c>
      <c r="H123" s="5">
        <f t="shared" ref="H123:H124" si="43">SUM(G123/E123)</f>
        <v>0.17587939698492464</v>
      </c>
    </row>
    <row r="124" spans="1:8" ht="24.9" customHeight="1" x14ac:dyDescent="0.25">
      <c r="A124" s="3" t="s">
        <v>147</v>
      </c>
      <c r="B124" s="4">
        <v>1271</v>
      </c>
      <c r="C124" s="4"/>
      <c r="D124" s="5"/>
      <c r="E124" s="4">
        <v>192</v>
      </c>
      <c r="F124" s="5">
        <f t="shared" si="42"/>
        <v>0.15106215578284815</v>
      </c>
      <c r="G124" s="4">
        <v>26</v>
      </c>
      <c r="H124" s="5">
        <f t="shared" si="43"/>
        <v>0.13541666666666666</v>
      </c>
    </row>
    <row r="125" spans="1:8" ht="24.9" customHeight="1" x14ac:dyDescent="0.25">
      <c r="A125" s="3" t="s">
        <v>148</v>
      </c>
      <c r="B125" s="4">
        <v>3477</v>
      </c>
      <c r="C125" s="4"/>
      <c r="D125" s="5"/>
      <c r="E125" s="4">
        <v>598</v>
      </c>
      <c r="F125" s="5">
        <f>SUM(E125/B125)</f>
        <v>0.1719873454127121</v>
      </c>
      <c r="G125" s="4">
        <v>45</v>
      </c>
      <c r="H125" s="5">
        <f>SUM(G125/E125)</f>
        <v>7.5250836120401343E-2</v>
      </c>
    </row>
    <row r="126" spans="1:8" ht="24.9" customHeight="1" x14ac:dyDescent="0.25">
      <c r="A126" s="3" t="s">
        <v>149</v>
      </c>
      <c r="B126" s="4">
        <v>1256</v>
      </c>
      <c r="C126" s="4">
        <v>83</v>
      </c>
      <c r="D126" s="5">
        <f t="shared" si="41"/>
        <v>6.60828025477707E-2</v>
      </c>
      <c r="E126" s="4"/>
      <c r="F126" s="5"/>
      <c r="G126" s="4"/>
      <c r="H126" s="5"/>
    </row>
    <row r="127" spans="1:8" ht="24.9" customHeight="1" x14ac:dyDescent="0.25">
      <c r="A127" s="3" t="s">
        <v>150</v>
      </c>
      <c r="B127" s="4">
        <v>760</v>
      </c>
      <c r="C127" s="4"/>
      <c r="D127" s="5"/>
      <c r="E127" s="4">
        <v>244</v>
      </c>
      <c r="F127" s="5">
        <f t="shared" ref="F127" si="44">SUM(E127/B127)</f>
        <v>0.32105263157894737</v>
      </c>
      <c r="G127" s="4">
        <v>32</v>
      </c>
      <c r="H127" s="5">
        <f t="shared" ref="H127" si="45">SUM(G127/E127)</f>
        <v>0.13114754098360656</v>
      </c>
    </row>
    <row r="128" spans="1:8" ht="24.9" customHeight="1" x14ac:dyDescent="0.25">
      <c r="A128" s="3" t="s">
        <v>29</v>
      </c>
      <c r="B128" s="4">
        <v>3186</v>
      </c>
      <c r="C128" s="4">
        <v>150</v>
      </c>
      <c r="D128" s="5">
        <f t="shared" si="41"/>
        <v>4.7080979284369114E-2</v>
      </c>
      <c r="E128" s="4">
        <v>932</v>
      </c>
      <c r="F128" s="5">
        <f t="shared" ref="F128" si="46">SUM(E128/B128)</f>
        <v>0.29252981795354677</v>
      </c>
      <c r="G128" s="4">
        <v>103</v>
      </c>
      <c r="H128" s="5">
        <f t="shared" ref="H128" si="47">SUM(G128/E128)</f>
        <v>0.11051502145922747</v>
      </c>
    </row>
    <row r="129" spans="1:8" ht="24.9" customHeight="1" x14ac:dyDescent="0.25">
      <c r="A129" s="3" t="s">
        <v>151</v>
      </c>
      <c r="B129" s="4">
        <v>105</v>
      </c>
      <c r="C129" s="4">
        <v>30</v>
      </c>
      <c r="D129" s="5">
        <f t="shared" si="41"/>
        <v>0.2857142857142857</v>
      </c>
      <c r="E129" s="4"/>
      <c r="F129" s="5"/>
      <c r="G129" s="4"/>
      <c r="H129" s="5"/>
    </row>
    <row r="130" spans="1:8" ht="24.9" customHeight="1" x14ac:dyDescent="0.25">
      <c r="A130" s="3" t="s">
        <v>152</v>
      </c>
      <c r="B130" s="4">
        <v>3045</v>
      </c>
      <c r="C130" s="4"/>
      <c r="D130" s="5"/>
      <c r="E130" s="4">
        <v>1076</v>
      </c>
      <c r="F130" s="5">
        <f>SUM(E130/B130)</f>
        <v>0.35336617405582921</v>
      </c>
      <c r="G130" s="4">
        <v>58</v>
      </c>
      <c r="H130" s="5">
        <f>SUM(G130/E130)</f>
        <v>5.3903345724907063E-2</v>
      </c>
    </row>
    <row r="131" spans="1:8" ht="24.9" customHeight="1" x14ac:dyDescent="0.25">
      <c r="A131" s="3" t="s">
        <v>153</v>
      </c>
      <c r="B131" s="4">
        <v>772</v>
      </c>
      <c r="C131" s="4">
        <v>53</v>
      </c>
      <c r="D131" s="5">
        <f t="shared" si="41"/>
        <v>6.8652849740932637E-2</v>
      </c>
      <c r="E131" s="4"/>
      <c r="F131" s="5"/>
      <c r="G131" s="4"/>
      <c r="H131" s="5"/>
    </row>
    <row r="132" spans="1:8" ht="24.9" customHeight="1" x14ac:dyDescent="0.25">
      <c r="A132" s="3" t="s">
        <v>154</v>
      </c>
      <c r="B132" s="4">
        <v>860</v>
      </c>
      <c r="C132" s="4"/>
      <c r="D132" s="5"/>
      <c r="E132" s="4">
        <v>208</v>
      </c>
      <c r="F132" s="5">
        <f t="shared" ref="F132" si="48">SUM(E132/B132)</f>
        <v>0.24186046511627907</v>
      </c>
      <c r="G132" s="4">
        <v>20</v>
      </c>
      <c r="H132" s="5">
        <f t="shared" ref="H132" si="49">SUM(G132/E132)</f>
        <v>9.6153846153846159E-2</v>
      </c>
    </row>
    <row r="133" spans="1:8" ht="24.9" customHeight="1" x14ac:dyDescent="0.25">
      <c r="A133" s="3" t="s">
        <v>155</v>
      </c>
      <c r="B133" s="4">
        <v>489</v>
      </c>
      <c r="C133" s="4">
        <v>13</v>
      </c>
      <c r="D133" s="5">
        <f t="shared" si="41"/>
        <v>2.6584867075664622E-2</v>
      </c>
      <c r="E133" s="4">
        <v>99</v>
      </c>
      <c r="F133" s="5">
        <f>SUM(E133/B133)</f>
        <v>0.20245398773006135</v>
      </c>
      <c r="G133" s="4">
        <v>9</v>
      </c>
      <c r="H133" s="5">
        <f t="shared" ref="H133:H158" si="50">SUM(G133/E133)</f>
        <v>9.0909090909090912E-2</v>
      </c>
    </row>
    <row r="134" spans="1:8" ht="24.9" customHeight="1" x14ac:dyDescent="0.25">
      <c r="A134" s="3" t="s">
        <v>156</v>
      </c>
      <c r="B134" s="4">
        <v>1073</v>
      </c>
      <c r="C134" s="4"/>
      <c r="D134" s="5"/>
      <c r="E134" s="4">
        <v>264</v>
      </c>
      <c r="F134" s="5">
        <f>SUM(E134/B134)</f>
        <v>0.24603914259086673</v>
      </c>
      <c r="G134" s="4">
        <v>22</v>
      </c>
      <c r="H134" s="5">
        <f t="shared" si="50"/>
        <v>8.3333333333333329E-2</v>
      </c>
    </row>
    <row r="135" spans="1:8" ht="24.9" customHeight="1" x14ac:dyDescent="0.25">
      <c r="A135" s="3" t="s">
        <v>157</v>
      </c>
      <c r="B135" s="4">
        <v>669</v>
      </c>
      <c r="C135" s="4">
        <v>107</v>
      </c>
      <c r="D135" s="5">
        <f t="shared" ref="D135:D140" si="51">SUM(C135/B135)</f>
        <v>0.15994020926756353</v>
      </c>
      <c r="E135" s="4"/>
      <c r="F135" s="5"/>
      <c r="G135" s="4"/>
      <c r="H135" s="5"/>
    </row>
    <row r="136" spans="1:8" ht="24.9" customHeight="1" x14ac:dyDescent="0.25">
      <c r="A136" s="3" t="s">
        <v>158</v>
      </c>
      <c r="B136" s="4">
        <v>49</v>
      </c>
      <c r="C136" s="4">
        <v>45</v>
      </c>
      <c r="D136" s="5">
        <f t="shared" si="51"/>
        <v>0.91836734693877553</v>
      </c>
      <c r="E136" s="4"/>
      <c r="F136" s="5"/>
      <c r="G136" s="4"/>
      <c r="H136" s="5"/>
    </row>
    <row r="137" spans="1:8" ht="24.9" customHeight="1" x14ac:dyDescent="0.25">
      <c r="A137" s="3" t="s">
        <v>159</v>
      </c>
      <c r="B137" s="4">
        <v>368</v>
      </c>
      <c r="C137" s="4">
        <v>60</v>
      </c>
      <c r="D137" s="5">
        <f t="shared" si="51"/>
        <v>0.16304347826086957</v>
      </c>
      <c r="E137" s="4"/>
      <c r="F137" s="5"/>
      <c r="G137" s="4"/>
      <c r="H137" s="5"/>
    </row>
    <row r="138" spans="1:8" ht="24.9" customHeight="1" x14ac:dyDescent="0.25">
      <c r="A138" s="3" t="s">
        <v>160</v>
      </c>
      <c r="B138" s="4">
        <v>935</v>
      </c>
      <c r="C138" s="4">
        <v>100</v>
      </c>
      <c r="D138" s="5">
        <f t="shared" si="51"/>
        <v>0.10695187165775401</v>
      </c>
      <c r="E138" s="4">
        <v>252</v>
      </c>
      <c r="F138" s="5">
        <f t="shared" ref="F138:F158" si="52">SUM(E138/B138)</f>
        <v>0.26951871657754012</v>
      </c>
      <c r="G138" s="4">
        <v>29</v>
      </c>
      <c r="H138" s="5">
        <f t="shared" si="50"/>
        <v>0.11507936507936507</v>
      </c>
    </row>
    <row r="139" spans="1:8" ht="24.9" customHeight="1" x14ac:dyDescent="0.25">
      <c r="A139" s="3" t="s">
        <v>161</v>
      </c>
      <c r="B139" s="4">
        <v>487</v>
      </c>
      <c r="C139" s="4">
        <v>110</v>
      </c>
      <c r="D139" s="5">
        <f t="shared" si="51"/>
        <v>0.22587268993839835</v>
      </c>
      <c r="E139" s="4">
        <v>77</v>
      </c>
      <c r="F139" s="5">
        <f t="shared" si="52"/>
        <v>0.15811088295687886</v>
      </c>
      <c r="G139" s="4">
        <v>6</v>
      </c>
      <c r="H139" s="5">
        <f t="shared" si="50"/>
        <v>7.792207792207792E-2</v>
      </c>
    </row>
    <row r="140" spans="1:8" ht="24.9" customHeight="1" x14ac:dyDescent="0.25">
      <c r="A140" s="3" t="s">
        <v>162</v>
      </c>
      <c r="B140" s="4">
        <v>779</v>
      </c>
      <c r="C140" s="4">
        <v>86</v>
      </c>
      <c r="D140" s="5">
        <f t="shared" si="51"/>
        <v>0.110397946084724</v>
      </c>
      <c r="E140" s="4"/>
      <c r="F140" s="5"/>
      <c r="G140" s="4"/>
      <c r="H140" s="5"/>
    </row>
    <row r="141" spans="1:8" ht="24.9" customHeight="1" x14ac:dyDescent="0.25">
      <c r="A141" s="3" t="s">
        <v>163</v>
      </c>
      <c r="B141" s="4">
        <v>2167</v>
      </c>
      <c r="C141" s="4"/>
      <c r="D141" s="5"/>
      <c r="E141" s="4">
        <v>376</v>
      </c>
      <c r="F141" s="5">
        <f t="shared" si="52"/>
        <v>0.17351176742039687</v>
      </c>
      <c r="G141" s="4">
        <v>21</v>
      </c>
      <c r="H141" s="5">
        <f t="shared" si="50"/>
        <v>5.5851063829787231E-2</v>
      </c>
    </row>
    <row r="142" spans="1:8" ht="24.9" customHeight="1" x14ac:dyDescent="0.25">
      <c r="A142" s="3" t="s">
        <v>164</v>
      </c>
      <c r="B142" s="4">
        <v>2225</v>
      </c>
      <c r="C142" s="4"/>
      <c r="D142" s="5"/>
      <c r="E142" s="4">
        <v>768</v>
      </c>
      <c r="F142" s="5">
        <f t="shared" si="52"/>
        <v>0.34516853932584268</v>
      </c>
      <c r="G142" s="4">
        <v>150</v>
      </c>
      <c r="H142" s="5">
        <f t="shared" si="50"/>
        <v>0.1953125</v>
      </c>
    </row>
    <row r="143" spans="1:8" ht="24.9" customHeight="1" x14ac:dyDescent="0.25">
      <c r="A143" s="3" t="s">
        <v>165</v>
      </c>
      <c r="B143" s="4">
        <v>1148</v>
      </c>
      <c r="C143" s="4">
        <v>62</v>
      </c>
      <c r="D143" s="5">
        <f>SUM(C143/B143)</f>
        <v>5.4006968641114983E-2</v>
      </c>
      <c r="E143" s="4">
        <v>271</v>
      </c>
      <c r="F143" s="5">
        <f t="shared" si="52"/>
        <v>0.23606271777003485</v>
      </c>
      <c r="G143" s="4">
        <v>19</v>
      </c>
      <c r="H143" s="5"/>
    </row>
    <row r="144" spans="1:8" ht="24.9" customHeight="1" x14ac:dyDescent="0.25">
      <c r="A144" s="3" t="s">
        <v>166</v>
      </c>
      <c r="B144" s="4">
        <v>1741</v>
      </c>
      <c r="C144" s="4"/>
      <c r="D144" s="5"/>
      <c r="E144" s="4"/>
      <c r="F144" s="5"/>
      <c r="G144" s="4"/>
      <c r="H144" s="5"/>
    </row>
    <row r="145" spans="1:8" ht="24.9" customHeight="1" x14ac:dyDescent="0.25">
      <c r="A145" s="3" t="s">
        <v>167</v>
      </c>
      <c r="B145" s="4">
        <v>3120</v>
      </c>
      <c r="C145" s="4"/>
      <c r="D145" s="5"/>
      <c r="E145" s="4">
        <v>910</v>
      </c>
      <c r="F145" s="5">
        <f t="shared" si="52"/>
        <v>0.29166666666666669</v>
      </c>
      <c r="G145" s="4">
        <v>129</v>
      </c>
      <c r="H145" s="5">
        <f t="shared" si="50"/>
        <v>0.14175824175824175</v>
      </c>
    </row>
    <row r="146" spans="1:8" ht="24.9" customHeight="1" x14ac:dyDescent="0.25">
      <c r="A146" s="3" t="s">
        <v>168</v>
      </c>
      <c r="B146" s="4">
        <v>489</v>
      </c>
      <c r="C146" s="4">
        <v>55</v>
      </c>
      <c r="D146" s="5">
        <f>SUM(C146/B146)</f>
        <v>0.11247443762781185</v>
      </c>
      <c r="E146" s="4"/>
      <c r="F146" s="5"/>
      <c r="G146" s="4"/>
      <c r="H146" s="5"/>
    </row>
    <row r="147" spans="1:8" ht="24.9" customHeight="1" x14ac:dyDescent="0.25">
      <c r="A147" s="3" t="s">
        <v>30</v>
      </c>
      <c r="B147" s="4">
        <v>556</v>
      </c>
      <c r="C147" s="4">
        <v>35</v>
      </c>
      <c r="D147" s="5">
        <f t="shared" ref="D147" si="53">SUM(C147/B147)</f>
        <v>6.2949640287769781E-2</v>
      </c>
      <c r="E147" s="4">
        <v>128</v>
      </c>
      <c r="F147" s="5">
        <f t="shared" si="52"/>
        <v>0.23021582733812951</v>
      </c>
      <c r="G147" s="4">
        <v>4</v>
      </c>
      <c r="H147" s="5">
        <f t="shared" si="50"/>
        <v>3.125E-2</v>
      </c>
    </row>
    <row r="148" spans="1:8" ht="24.9" customHeight="1" x14ac:dyDescent="0.25">
      <c r="A148" s="3" t="s">
        <v>169</v>
      </c>
      <c r="B148" s="4">
        <v>1530</v>
      </c>
      <c r="C148" s="4"/>
      <c r="D148" s="5"/>
      <c r="E148" s="4">
        <v>245</v>
      </c>
      <c r="F148" s="5">
        <f t="shared" si="52"/>
        <v>0.16013071895424835</v>
      </c>
      <c r="G148" s="4">
        <v>38</v>
      </c>
      <c r="H148" s="5">
        <f t="shared" si="50"/>
        <v>0.15510204081632653</v>
      </c>
    </row>
    <row r="149" spans="1:8" ht="24.9" customHeight="1" x14ac:dyDescent="0.25">
      <c r="A149" s="3" t="s">
        <v>170</v>
      </c>
      <c r="B149" s="4">
        <v>3188</v>
      </c>
      <c r="C149" s="4">
        <v>200</v>
      </c>
      <c r="D149" s="5">
        <f>SUM(C149/B149)</f>
        <v>6.2735257214554585E-2</v>
      </c>
      <c r="E149" s="4">
        <v>1169</v>
      </c>
      <c r="F149" s="5">
        <f t="shared" si="52"/>
        <v>0.36668757841907151</v>
      </c>
      <c r="G149" s="4">
        <v>250</v>
      </c>
      <c r="H149" s="5">
        <f t="shared" si="50"/>
        <v>0.21385799828913601</v>
      </c>
    </row>
    <row r="150" spans="1:8" ht="24.9" customHeight="1" x14ac:dyDescent="0.25">
      <c r="A150" s="3" t="s">
        <v>171</v>
      </c>
      <c r="B150" s="4">
        <v>408</v>
      </c>
      <c r="C150" s="4">
        <v>80</v>
      </c>
      <c r="D150" s="5">
        <f>SUM(C150/B150)</f>
        <v>0.19607843137254902</v>
      </c>
      <c r="E150" s="4">
        <v>134</v>
      </c>
      <c r="F150" s="5">
        <f t="shared" si="52"/>
        <v>0.32843137254901961</v>
      </c>
      <c r="G150" s="4"/>
      <c r="H150" s="5"/>
    </row>
    <row r="151" spans="1:8" ht="24.9" customHeight="1" x14ac:dyDescent="0.25">
      <c r="A151" s="3" t="s">
        <v>172</v>
      </c>
      <c r="B151" s="4"/>
      <c r="C151" s="4">
        <v>182</v>
      </c>
      <c r="D151" s="5"/>
      <c r="E151" s="4"/>
      <c r="F151" s="5"/>
      <c r="G151" s="4"/>
      <c r="H151" s="5"/>
    </row>
    <row r="152" spans="1:8" ht="24.9" customHeight="1" x14ac:dyDescent="0.25">
      <c r="A152" s="3" t="s">
        <v>31</v>
      </c>
      <c r="B152" s="4">
        <v>3532</v>
      </c>
      <c r="C152" s="4">
        <v>162</v>
      </c>
      <c r="D152" s="5">
        <f t="shared" ref="D152:D157" si="54">SUM(C152/B152)</f>
        <v>4.5866364665911666E-2</v>
      </c>
      <c r="E152" s="4">
        <v>597</v>
      </c>
      <c r="F152" s="5">
        <f t="shared" si="52"/>
        <v>0.16902604756511891</v>
      </c>
      <c r="G152" s="4">
        <v>31</v>
      </c>
      <c r="H152" s="5">
        <f t="shared" si="50"/>
        <v>5.1926298157453935E-2</v>
      </c>
    </row>
    <row r="153" spans="1:8" ht="24.9" customHeight="1" x14ac:dyDescent="0.25">
      <c r="A153" s="3" t="s">
        <v>32</v>
      </c>
      <c r="B153" s="4">
        <v>531</v>
      </c>
      <c r="C153" s="4">
        <v>52</v>
      </c>
      <c r="D153" s="5">
        <f t="shared" si="54"/>
        <v>9.7928436911487754E-2</v>
      </c>
      <c r="E153" s="4">
        <v>148</v>
      </c>
      <c r="F153" s="5">
        <f t="shared" si="52"/>
        <v>0.27871939736346518</v>
      </c>
      <c r="G153" s="4">
        <v>28</v>
      </c>
      <c r="H153" s="5">
        <f t="shared" si="50"/>
        <v>0.1891891891891892</v>
      </c>
    </row>
    <row r="154" spans="1:8" ht="24.9" customHeight="1" x14ac:dyDescent="0.25">
      <c r="A154" s="3" t="s">
        <v>173</v>
      </c>
      <c r="B154" s="4">
        <v>2248</v>
      </c>
      <c r="C154" s="4"/>
      <c r="D154" s="5"/>
      <c r="E154" s="4">
        <v>318</v>
      </c>
      <c r="F154" s="5">
        <f t="shared" si="52"/>
        <v>0.14145907473309607</v>
      </c>
      <c r="G154" s="4">
        <v>27</v>
      </c>
      <c r="H154" s="5">
        <f t="shared" si="50"/>
        <v>8.4905660377358486E-2</v>
      </c>
    </row>
    <row r="155" spans="1:8" ht="24.9" customHeight="1" x14ac:dyDescent="0.25">
      <c r="A155" s="3" t="s">
        <v>174</v>
      </c>
      <c r="B155" s="4">
        <v>517</v>
      </c>
      <c r="C155" s="4"/>
      <c r="D155" s="5"/>
      <c r="E155" s="4">
        <v>205</v>
      </c>
      <c r="F155" s="5">
        <f t="shared" si="52"/>
        <v>0.39651837524177952</v>
      </c>
      <c r="G155" s="4">
        <v>42</v>
      </c>
      <c r="H155" s="5">
        <f t="shared" si="50"/>
        <v>0.20487804878048779</v>
      </c>
    </row>
    <row r="156" spans="1:8" ht="24.9" customHeight="1" x14ac:dyDescent="0.25">
      <c r="A156" s="3" t="s">
        <v>175</v>
      </c>
      <c r="B156" s="4">
        <v>2985</v>
      </c>
      <c r="C156" s="4"/>
      <c r="D156" s="5"/>
      <c r="E156" s="4">
        <v>903</v>
      </c>
      <c r="F156" s="5">
        <f t="shared" si="52"/>
        <v>0.30251256281407035</v>
      </c>
      <c r="G156" s="4">
        <v>66</v>
      </c>
      <c r="H156" s="5">
        <f t="shared" si="50"/>
        <v>7.3089700996677748E-2</v>
      </c>
    </row>
    <row r="157" spans="1:8" ht="24.9" customHeight="1" x14ac:dyDescent="0.25">
      <c r="A157" s="3" t="s">
        <v>176</v>
      </c>
      <c r="B157" s="4">
        <v>918</v>
      </c>
      <c r="C157" s="4">
        <v>100</v>
      </c>
      <c r="D157" s="5">
        <f t="shared" si="54"/>
        <v>0.10893246187363835</v>
      </c>
      <c r="E157" s="4"/>
      <c r="F157" s="5"/>
      <c r="G157" s="4"/>
      <c r="H157" s="5"/>
    </row>
    <row r="158" spans="1:8" ht="24.9" customHeight="1" x14ac:dyDescent="0.25">
      <c r="A158" s="3" t="s">
        <v>177</v>
      </c>
      <c r="B158" s="4">
        <v>881</v>
      </c>
      <c r="C158" s="4"/>
      <c r="D158" s="5"/>
      <c r="E158" s="4">
        <v>139</v>
      </c>
      <c r="F158" s="5">
        <f t="shared" si="52"/>
        <v>0.15777525539160045</v>
      </c>
      <c r="G158" s="4">
        <v>8</v>
      </c>
      <c r="H158" s="5">
        <f t="shared" si="50"/>
        <v>5.7553956834532377E-2</v>
      </c>
    </row>
    <row r="159" spans="1:8" ht="24.9" customHeight="1" x14ac:dyDescent="0.25">
      <c r="A159" s="3" t="s">
        <v>33</v>
      </c>
      <c r="B159" s="4">
        <v>273</v>
      </c>
      <c r="C159" s="4">
        <v>50</v>
      </c>
      <c r="D159" s="5">
        <f t="shared" ref="D159:D166" si="55">SUM(C159/B159)</f>
        <v>0.18315018315018314</v>
      </c>
      <c r="E159" s="4">
        <v>69</v>
      </c>
      <c r="F159" s="5">
        <f>SUM(E159/B159)</f>
        <v>0.25274725274725274</v>
      </c>
      <c r="G159" s="4">
        <v>3</v>
      </c>
      <c r="H159" s="5">
        <f>SUM(G159/E159)</f>
        <v>4.3478260869565216E-2</v>
      </c>
    </row>
    <row r="160" spans="1:8" ht="24.9" customHeight="1" x14ac:dyDescent="0.25">
      <c r="A160" s="3" t="s">
        <v>178</v>
      </c>
      <c r="B160" s="4">
        <v>81</v>
      </c>
      <c r="C160" s="4"/>
      <c r="D160" s="5"/>
      <c r="E160" s="4">
        <v>28</v>
      </c>
      <c r="F160" s="5">
        <f t="shared" ref="F160:F164" si="56">SUM(E160/B160)</f>
        <v>0.34567901234567899</v>
      </c>
      <c r="G160" s="4">
        <v>1</v>
      </c>
      <c r="H160" s="5">
        <f>SUM(G160/E160)</f>
        <v>3.5714285714285712E-2</v>
      </c>
    </row>
    <row r="161" spans="1:8" ht="24.9" customHeight="1" x14ac:dyDescent="0.25">
      <c r="A161" s="3" t="s">
        <v>179</v>
      </c>
      <c r="B161" s="4">
        <v>2681</v>
      </c>
      <c r="C161" s="4"/>
      <c r="D161" s="5"/>
      <c r="E161" s="4">
        <v>622</v>
      </c>
      <c r="F161" s="5">
        <f t="shared" si="56"/>
        <v>0.2320029839612085</v>
      </c>
      <c r="G161" s="4">
        <v>77</v>
      </c>
      <c r="H161" s="5">
        <f>SUM(G161/E161)</f>
        <v>0.12379421221864952</v>
      </c>
    </row>
    <row r="162" spans="1:8" ht="24.9" customHeight="1" x14ac:dyDescent="0.25">
      <c r="A162" s="3" t="s">
        <v>34</v>
      </c>
      <c r="B162" s="4">
        <v>1044</v>
      </c>
      <c r="C162" s="4">
        <v>93</v>
      </c>
      <c r="D162" s="5">
        <f t="shared" si="55"/>
        <v>8.9080459770114945E-2</v>
      </c>
      <c r="E162" s="4">
        <v>159</v>
      </c>
      <c r="F162" s="5">
        <f t="shared" si="56"/>
        <v>0.15229885057471265</v>
      </c>
      <c r="G162" s="4"/>
      <c r="H162" s="5"/>
    </row>
    <row r="163" spans="1:8" ht="24.9" customHeight="1" x14ac:dyDescent="0.25">
      <c r="A163" s="3" t="s">
        <v>180</v>
      </c>
      <c r="B163" s="4">
        <v>436</v>
      </c>
      <c r="C163" s="4">
        <v>48</v>
      </c>
      <c r="D163" s="5">
        <f t="shared" si="55"/>
        <v>0.11009174311926606</v>
      </c>
      <c r="E163" s="4">
        <v>66</v>
      </c>
      <c r="F163" s="5">
        <f t="shared" si="56"/>
        <v>0.15137614678899083</v>
      </c>
      <c r="G163" s="4">
        <v>2</v>
      </c>
      <c r="H163" s="5">
        <f t="shared" ref="H163:H164" si="57">SUM(G163/E163)</f>
        <v>3.0303030303030304E-2</v>
      </c>
    </row>
    <row r="164" spans="1:8" ht="24.9" customHeight="1" x14ac:dyDescent="0.25">
      <c r="A164" s="3" t="s">
        <v>181</v>
      </c>
      <c r="B164" s="4">
        <v>6186</v>
      </c>
      <c r="C164" s="4">
        <v>200</v>
      </c>
      <c r="D164" s="5">
        <f t="shared" si="55"/>
        <v>3.2331070158422244E-2</v>
      </c>
      <c r="E164" s="4">
        <v>2100</v>
      </c>
      <c r="F164" s="5">
        <f t="shared" si="56"/>
        <v>0.33947623666343357</v>
      </c>
      <c r="G164" s="4">
        <v>617</v>
      </c>
      <c r="H164" s="5">
        <f t="shared" si="57"/>
        <v>0.2938095238095238</v>
      </c>
    </row>
    <row r="165" spans="1:8" ht="24.9" customHeight="1" x14ac:dyDescent="0.25">
      <c r="A165" s="3" t="s">
        <v>182</v>
      </c>
      <c r="B165" s="4">
        <v>1453</v>
      </c>
      <c r="C165" s="4">
        <v>82</v>
      </c>
      <c r="D165" s="5">
        <f t="shared" si="55"/>
        <v>5.6434962147281484E-2</v>
      </c>
      <c r="E165" s="4">
        <v>213</v>
      </c>
      <c r="F165" s="5">
        <f t="shared" ref="F165" si="58">SUM(E165/B165)</f>
        <v>0.14659325533379217</v>
      </c>
      <c r="G165" s="4">
        <v>9</v>
      </c>
      <c r="H165" s="5">
        <f t="shared" ref="H165" si="59">SUM(G165/E165)</f>
        <v>4.2253521126760563E-2</v>
      </c>
    </row>
    <row r="166" spans="1:8" ht="24.9" customHeight="1" x14ac:dyDescent="0.25">
      <c r="A166" s="3" t="s">
        <v>183</v>
      </c>
      <c r="B166" s="4">
        <v>838</v>
      </c>
      <c r="C166" s="4">
        <v>77</v>
      </c>
      <c r="D166" s="5">
        <f t="shared" si="55"/>
        <v>9.1885441527446307E-2</v>
      </c>
      <c r="E166" s="4">
        <v>178</v>
      </c>
      <c r="F166" s="5">
        <f>SUM(E166/B166)</f>
        <v>0.21241050119331742</v>
      </c>
      <c r="G166" s="4">
        <v>20</v>
      </c>
      <c r="H166" s="5">
        <f>SUM(G166/E166)</f>
        <v>0.11235955056179775</v>
      </c>
    </row>
    <row r="167" spans="1:8" ht="24.9" customHeight="1" x14ac:dyDescent="0.25">
      <c r="A167" s="3" t="s">
        <v>35</v>
      </c>
      <c r="B167" s="4">
        <v>883</v>
      </c>
      <c r="C167" s="4"/>
      <c r="D167" s="5"/>
      <c r="E167" s="4">
        <v>233</v>
      </c>
      <c r="F167" s="5">
        <f t="shared" ref="F167:F169" si="60">SUM(E167/B167)</f>
        <v>0.26387315968289921</v>
      </c>
      <c r="G167" s="4">
        <v>32</v>
      </c>
      <c r="H167" s="5">
        <f t="shared" ref="H167:H169" si="61">SUM(G167/E167)</f>
        <v>0.13733905579399142</v>
      </c>
    </row>
    <row r="168" spans="1:8" ht="24.9" customHeight="1" x14ac:dyDescent="0.25">
      <c r="A168" s="3" t="s">
        <v>184</v>
      </c>
      <c r="B168" s="4">
        <v>14173</v>
      </c>
      <c r="C168" s="4"/>
      <c r="D168" s="5"/>
      <c r="E168" s="4">
        <v>3398</v>
      </c>
      <c r="F168" s="5">
        <f t="shared" si="60"/>
        <v>0.23975164044309602</v>
      </c>
      <c r="G168" s="4">
        <v>759</v>
      </c>
      <c r="H168" s="5">
        <f t="shared" si="61"/>
        <v>0.22336668628605061</v>
      </c>
    </row>
    <row r="169" spans="1:8" ht="24.9" customHeight="1" x14ac:dyDescent="0.25">
      <c r="A169" s="3" t="s">
        <v>185</v>
      </c>
      <c r="B169" s="4">
        <v>1450</v>
      </c>
      <c r="C169" s="4"/>
      <c r="D169" s="5"/>
      <c r="E169" s="4">
        <v>593</v>
      </c>
      <c r="F169" s="5">
        <f t="shared" si="60"/>
        <v>0.40896551724137931</v>
      </c>
      <c r="G169" s="4">
        <v>78</v>
      </c>
      <c r="H169" s="5">
        <f t="shared" si="61"/>
        <v>0.13153456998313659</v>
      </c>
    </row>
    <row r="170" spans="1:8" ht="24.9" customHeight="1" x14ac:dyDescent="0.25">
      <c r="A170" s="3" t="s">
        <v>186</v>
      </c>
      <c r="B170" s="4">
        <v>6965</v>
      </c>
      <c r="C170" s="4"/>
      <c r="D170" s="5"/>
      <c r="E170" s="4">
        <v>1264</v>
      </c>
      <c r="F170" s="5">
        <f>SUM(E170/B170)</f>
        <v>0.18147882268485283</v>
      </c>
      <c r="G170" s="4">
        <v>188</v>
      </c>
      <c r="H170" s="5">
        <f>SUM(G170/E170)</f>
        <v>0.14873417721518986</v>
      </c>
    </row>
    <row r="171" spans="1:8" ht="24.9" customHeight="1" x14ac:dyDescent="0.25">
      <c r="A171" s="3" t="s">
        <v>187</v>
      </c>
      <c r="B171" s="4">
        <v>4837</v>
      </c>
      <c r="C171" s="4"/>
      <c r="D171" s="5"/>
      <c r="E171" s="4">
        <v>791</v>
      </c>
      <c r="F171" s="5">
        <f>SUM(E171/B171)</f>
        <v>0.16353111432706222</v>
      </c>
      <c r="G171" s="4">
        <v>63</v>
      </c>
      <c r="H171" s="5">
        <f>SUM(G171/E171)</f>
        <v>7.9646017699115043E-2</v>
      </c>
    </row>
    <row r="172" spans="1:8" ht="24.9" customHeight="1" x14ac:dyDescent="0.25">
      <c r="A172" s="3" t="s">
        <v>188</v>
      </c>
      <c r="B172" s="4">
        <v>4671</v>
      </c>
      <c r="C172" s="4"/>
      <c r="D172" s="5"/>
      <c r="E172" s="4">
        <v>948</v>
      </c>
      <c r="F172" s="5">
        <f>SUM(E172/B172)</f>
        <v>0.2029543994861914</v>
      </c>
      <c r="G172" s="4">
        <v>159</v>
      </c>
      <c r="H172" s="5">
        <f t="shared" ref="H172:H174" si="62">SUM(G172/E172)</f>
        <v>0.16772151898734178</v>
      </c>
    </row>
    <row r="173" spans="1:8" ht="24.9" customHeight="1" x14ac:dyDescent="0.25">
      <c r="A173" s="3" t="s">
        <v>189</v>
      </c>
      <c r="B173" s="4">
        <v>429</v>
      </c>
      <c r="C173" s="4">
        <v>20</v>
      </c>
      <c r="D173" s="5">
        <f>SUM(C173/B173)</f>
        <v>4.6620046620046623E-2</v>
      </c>
      <c r="E173" s="4"/>
      <c r="F173" s="5"/>
      <c r="G173" s="4"/>
      <c r="H173" s="5"/>
    </row>
    <row r="174" spans="1:8" ht="24.9" customHeight="1" x14ac:dyDescent="0.25">
      <c r="A174" s="3" t="s">
        <v>36</v>
      </c>
      <c r="B174" s="4">
        <v>4338</v>
      </c>
      <c r="C174" s="4"/>
      <c r="D174" s="5"/>
      <c r="E174" s="4">
        <v>1055</v>
      </c>
      <c r="F174" s="5">
        <f t="shared" ref="F174" si="63">SUM(E174/B174)</f>
        <v>0.24319963116643614</v>
      </c>
      <c r="G174" s="4">
        <v>153</v>
      </c>
      <c r="H174" s="5">
        <f t="shared" si="62"/>
        <v>0.14502369668246445</v>
      </c>
    </row>
    <row r="175" spans="1:8" ht="24.9" customHeight="1" x14ac:dyDescent="0.25">
      <c r="A175" s="3" t="s">
        <v>37</v>
      </c>
      <c r="B175" s="4">
        <v>149</v>
      </c>
      <c r="C175" s="4">
        <v>30</v>
      </c>
      <c r="D175" s="5">
        <f t="shared" ref="D175:D180" si="64">SUM(C175/B175)</f>
        <v>0.20134228187919462</v>
      </c>
      <c r="E175" s="4"/>
      <c r="F175" s="5"/>
      <c r="G175" s="4"/>
      <c r="H175" s="5"/>
    </row>
    <row r="176" spans="1:8" ht="24.9" customHeight="1" x14ac:dyDescent="0.25">
      <c r="A176" s="3" t="s">
        <v>190</v>
      </c>
      <c r="B176" s="4">
        <v>1340</v>
      </c>
      <c r="C176" s="4">
        <v>137</v>
      </c>
      <c r="D176" s="5">
        <f t="shared" si="64"/>
        <v>0.10223880597014925</v>
      </c>
      <c r="E176" s="4">
        <v>415</v>
      </c>
      <c r="F176" s="5">
        <f>SUM(E176/B176)</f>
        <v>0.30970149253731344</v>
      </c>
      <c r="G176" s="4">
        <v>50</v>
      </c>
      <c r="H176" s="5">
        <f>SUM(G176/E176)</f>
        <v>0.12048192771084337</v>
      </c>
    </row>
    <row r="177" spans="1:8" ht="24.9" customHeight="1" x14ac:dyDescent="0.25">
      <c r="A177" s="3" t="s">
        <v>191</v>
      </c>
      <c r="B177" s="4">
        <v>539</v>
      </c>
      <c r="C177" s="4">
        <v>50</v>
      </c>
      <c r="D177" s="5">
        <f t="shared" si="64"/>
        <v>9.2764378478664186E-2</v>
      </c>
      <c r="E177" s="4"/>
      <c r="F177" s="5"/>
      <c r="G177" s="4"/>
      <c r="H177" s="5"/>
    </row>
    <row r="178" spans="1:8" ht="24.9" customHeight="1" x14ac:dyDescent="0.25">
      <c r="A178" s="3" t="s">
        <v>192</v>
      </c>
      <c r="B178" s="4">
        <v>4357</v>
      </c>
      <c r="C178" s="4">
        <v>150</v>
      </c>
      <c r="D178" s="5">
        <f t="shared" si="64"/>
        <v>3.4427358274041774E-2</v>
      </c>
      <c r="E178" s="4">
        <v>711</v>
      </c>
      <c r="F178" s="5">
        <f t="shared" ref="F178" si="65">SUM(E178/B178)</f>
        <v>0.16318567821895799</v>
      </c>
      <c r="G178" s="4">
        <v>107</v>
      </c>
      <c r="H178" s="5">
        <f t="shared" ref="H178" si="66">SUM(G178/E178)</f>
        <v>0.15049226441631505</v>
      </c>
    </row>
    <row r="179" spans="1:8" ht="24.9" customHeight="1" x14ac:dyDescent="0.25">
      <c r="A179" s="3" t="s">
        <v>193</v>
      </c>
      <c r="B179" s="4">
        <v>904</v>
      </c>
      <c r="C179" s="4"/>
      <c r="D179" s="5"/>
      <c r="E179" s="4"/>
      <c r="F179" s="5"/>
      <c r="G179" s="4"/>
      <c r="H179" s="5"/>
    </row>
    <row r="180" spans="1:8" ht="24.9" customHeight="1" x14ac:dyDescent="0.25">
      <c r="A180" s="3" t="s">
        <v>194</v>
      </c>
      <c r="B180" s="4">
        <v>187</v>
      </c>
      <c r="C180" s="4">
        <v>29</v>
      </c>
      <c r="D180" s="5">
        <f t="shared" si="64"/>
        <v>0.15508021390374332</v>
      </c>
      <c r="E180" s="4"/>
      <c r="F180" s="5"/>
      <c r="G180" s="4"/>
      <c r="H180" s="5"/>
    </row>
    <row r="181" spans="1:8" ht="24.9" customHeight="1" x14ac:dyDescent="0.25">
      <c r="A181" s="3" t="s">
        <v>195</v>
      </c>
      <c r="B181" s="4">
        <v>55</v>
      </c>
      <c r="C181" s="4">
        <v>55</v>
      </c>
      <c r="D181" s="5"/>
      <c r="E181" s="4"/>
      <c r="F181" s="5"/>
      <c r="G181" s="4"/>
      <c r="H181" s="5"/>
    </row>
    <row r="182" spans="1:8" ht="24.9" customHeight="1" x14ac:dyDescent="0.25">
      <c r="A182" s="3" t="s">
        <v>38</v>
      </c>
      <c r="B182" s="4">
        <v>694</v>
      </c>
      <c r="C182" s="4">
        <v>55</v>
      </c>
      <c r="D182" s="5">
        <f>SUM(C182/B182)</f>
        <v>7.9250720461095103E-2</v>
      </c>
      <c r="E182" s="4">
        <v>130</v>
      </c>
      <c r="F182" s="5">
        <f>SUM(E182/B182)</f>
        <v>0.18731988472622479</v>
      </c>
      <c r="G182" s="4">
        <v>7</v>
      </c>
      <c r="H182" s="5">
        <f>SUM(G182/E182)</f>
        <v>5.3846153846153849E-2</v>
      </c>
    </row>
    <row r="183" spans="1:8" ht="24.9" customHeight="1" x14ac:dyDescent="0.25">
      <c r="A183" s="3" t="s">
        <v>39</v>
      </c>
      <c r="B183" s="4">
        <v>3952</v>
      </c>
      <c r="C183" s="4"/>
      <c r="D183" s="5"/>
      <c r="E183" s="4">
        <v>764</v>
      </c>
      <c r="F183" s="5">
        <f>SUM(E183/B183)</f>
        <v>0.19331983805668015</v>
      </c>
      <c r="G183" s="4">
        <v>111</v>
      </c>
      <c r="H183" s="5"/>
    </row>
    <row r="184" spans="1:8" ht="24.9" customHeight="1" x14ac:dyDescent="0.25">
      <c r="A184" s="3" t="s">
        <v>196</v>
      </c>
      <c r="B184" s="4">
        <v>2210</v>
      </c>
      <c r="C184" s="4">
        <v>225</v>
      </c>
      <c r="D184" s="5">
        <f t="shared" ref="D184:D187" si="67">SUM(C184/B184)</f>
        <v>0.10180995475113122</v>
      </c>
      <c r="E184" s="4">
        <v>533</v>
      </c>
      <c r="F184" s="5">
        <f t="shared" ref="F184:F188" si="68">SUM(E184/B184)</f>
        <v>0.2411764705882353</v>
      </c>
      <c r="G184" s="4">
        <v>21</v>
      </c>
      <c r="H184" s="5">
        <f t="shared" ref="H184:H188" si="69">SUM(G184/E184)</f>
        <v>3.9399624765478425E-2</v>
      </c>
    </row>
    <row r="185" spans="1:8" ht="24.9" customHeight="1" x14ac:dyDescent="0.25">
      <c r="A185" s="3" t="s">
        <v>197</v>
      </c>
      <c r="B185" s="4">
        <v>398</v>
      </c>
      <c r="C185" s="4">
        <v>70</v>
      </c>
      <c r="D185" s="5">
        <f t="shared" si="67"/>
        <v>0.17587939698492464</v>
      </c>
      <c r="E185" s="4">
        <v>172</v>
      </c>
      <c r="F185" s="5">
        <f t="shared" si="68"/>
        <v>0.43216080402010049</v>
      </c>
      <c r="G185" s="4">
        <v>22</v>
      </c>
      <c r="H185" s="5">
        <f t="shared" si="69"/>
        <v>0.12790697674418605</v>
      </c>
    </row>
    <row r="186" spans="1:8" ht="24.9" customHeight="1" x14ac:dyDescent="0.25">
      <c r="A186" s="3" t="s">
        <v>199</v>
      </c>
      <c r="B186" s="4">
        <v>824</v>
      </c>
      <c r="C186" s="4">
        <v>85</v>
      </c>
      <c r="D186" s="5">
        <f t="shared" si="67"/>
        <v>0.10315533980582524</v>
      </c>
      <c r="E186" s="4"/>
      <c r="F186" s="5"/>
      <c r="G186" s="4"/>
      <c r="H186" s="5"/>
    </row>
    <row r="187" spans="1:8" ht="24.9" customHeight="1" x14ac:dyDescent="0.25">
      <c r="A187" s="3" t="s">
        <v>200</v>
      </c>
      <c r="B187" s="4">
        <v>987</v>
      </c>
      <c r="C187" s="4">
        <v>125</v>
      </c>
      <c r="D187" s="5">
        <f t="shared" si="67"/>
        <v>0.12664640324214793</v>
      </c>
      <c r="E187" s="4"/>
      <c r="F187" s="5"/>
      <c r="G187" s="4"/>
      <c r="H187" s="5"/>
    </row>
    <row r="188" spans="1:8" ht="24.9" customHeight="1" x14ac:dyDescent="0.25">
      <c r="A188" s="3" t="s">
        <v>201</v>
      </c>
      <c r="B188" s="4">
        <v>985</v>
      </c>
      <c r="C188" s="4"/>
      <c r="D188" s="5"/>
      <c r="E188" s="4">
        <v>61</v>
      </c>
      <c r="F188" s="5">
        <f t="shared" si="68"/>
        <v>6.1928934010152287E-2</v>
      </c>
      <c r="G188" s="4">
        <v>2</v>
      </c>
      <c r="H188" s="5">
        <f t="shared" si="69"/>
        <v>3.2786885245901641E-2</v>
      </c>
    </row>
    <row r="189" spans="1:8" ht="24.9" customHeight="1" x14ac:dyDescent="0.25">
      <c r="A189" s="3" t="s">
        <v>202</v>
      </c>
      <c r="B189" s="4">
        <v>2426</v>
      </c>
      <c r="C189" s="4">
        <v>100</v>
      </c>
      <c r="D189" s="5">
        <f t="shared" ref="D189:D200" si="70">SUM(C189/B189)</f>
        <v>4.1220115416323165E-2</v>
      </c>
      <c r="E189" s="4">
        <v>691</v>
      </c>
      <c r="F189" s="5">
        <f>SUM(E189/B189)</f>
        <v>0.28483099752679308</v>
      </c>
      <c r="G189" s="4">
        <v>100</v>
      </c>
      <c r="H189" s="5">
        <f>SUM(G189/E189)</f>
        <v>0.14471780028943559</v>
      </c>
    </row>
    <row r="190" spans="1:8" ht="24.9" customHeight="1" x14ac:dyDescent="0.25">
      <c r="A190" s="3" t="s">
        <v>203</v>
      </c>
      <c r="B190" s="4">
        <v>1823</v>
      </c>
      <c r="C190" s="4"/>
      <c r="D190" s="5"/>
      <c r="E190" s="4">
        <v>502</v>
      </c>
      <c r="F190" s="5">
        <f>SUM(E190/B190)</f>
        <v>0.27537026878771254</v>
      </c>
      <c r="G190" s="4">
        <v>30</v>
      </c>
      <c r="H190" s="5">
        <f>SUM(G190/E190)</f>
        <v>5.9760956175298807E-2</v>
      </c>
    </row>
    <row r="191" spans="1:8" ht="24.9" customHeight="1" x14ac:dyDescent="0.25">
      <c r="A191" s="3" t="s">
        <v>40</v>
      </c>
      <c r="B191" s="4">
        <v>1771</v>
      </c>
      <c r="C191" s="4">
        <v>155</v>
      </c>
      <c r="D191" s="5">
        <f t="shared" si="70"/>
        <v>8.7521174477696223E-2</v>
      </c>
      <c r="E191" s="4">
        <v>380</v>
      </c>
      <c r="F191" s="5">
        <f>SUM(E191/B191)</f>
        <v>0.21456804065499718</v>
      </c>
      <c r="G191" s="4">
        <v>34</v>
      </c>
      <c r="H191" s="5">
        <f>SUM(G191/E191)</f>
        <v>8.9473684210526316E-2</v>
      </c>
    </row>
    <row r="192" spans="1:8" ht="24.9" customHeight="1" x14ac:dyDescent="0.25">
      <c r="A192" s="3" t="s">
        <v>204</v>
      </c>
      <c r="B192" s="4">
        <v>69</v>
      </c>
      <c r="C192" s="4"/>
      <c r="D192" s="5"/>
      <c r="E192" s="4">
        <v>59</v>
      </c>
      <c r="F192" s="5">
        <f>SUM(E192/B192)</f>
        <v>0.85507246376811596</v>
      </c>
      <c r="G192" s="4">
        <v>27</v>
      </c>
      <c r="H192" s="5">
        <f t="shared" ref="H192:H195" si="71">SUM(G192/E192)</f>
        <v>0.4576271186440678</v>
      </c>
    </row>
    <row r="193" spans="1:8" ht="24.9" customHeight="1" x14ac:dyDescent="0.25">
      <c r="A193" s="3" t="s">
        <v>205</v>
      </c>
      <c r="B193" s="4">
        <v>1403</v>
      </c>
      <c r="C193" s="4">
        <v>100</v>
      </c>
      <c r="D193" s="5">
        <f t="shared" si="70"/>
        <v>7.1275837491090524E-2</v>
      </c>
      <c r="E193" s="4">
        <v>357</v>
      </c>
      <c r="F193" s="5">
        <f>SUM(E193/B193)</f>
        <v>0.25445473984319317</v>
      </c>
      <c r="G193" s="4">
        <v>22</v>
      </c>
      <c r="H193" s="5">
        <f t="shared" si="71"/>
        <v>6.1624649859943981E-2</v>
      </c>
    </row>
    <row r="194" spans="1:8" ht="24.9" customHeight="1" x14ac:dyDescent="0.25">
      <c r="A194" s="3" t="s">
        <v>206</v>
      </c>
      <c r="B194" s="4">
        <v>667</v>
      </c>
      <c r="C194" s="4"/>
      <c r="D194" s="5"/>
      <c r="E194" s="4">
        <v>128</v>
      </c>
      <c r="F194" s="5">
        <f t="shared" ref="F194:F195" si="72">SUM(E194/B194)</f>
        <v>0.19190404797601199</v>
      </c>
      <c r="G194" s="4">
        <v>26</v>
      </c>
      <c r="H194" s="5">
        <f t="shared" si="71"/>
        <v>0.203125</v>
      </c>
    </row>
    <row r="195" spans="1:8" ht="24.9" customHeight="1" x14ac:dyDescent="0.25">
      <c r="A195" s="3" t="s">
        <v>207</v>
      </c>
      <c r="B195" s="4">
        <v>1524</v>
      </c>
      <c r="C195" s="4"/>
      <c r="D195" s="5"/>
      <c r="E195" s="4">
        <v>307</v>
      </c>
      <c r="F195" s="5">
        <f t="shared" si="72"/>
        <v>0.20144356955380577</v>
      </c>
      <c r="G195" s="4">
        <v>23</v>
      </c>
      <c r="H195" s="5">
        <f t="shared" si="71"/>
        <v>7.4918566775244305E-2</v>
      </c>
    </row>
    <row r="196" spans="1:8" ht="24.9" customHeight="1" x14ac:dyDescent="0.25">
      <c r="A196" s="3" t="s">
        <v>208</v>
      </c>
      <c r="B196" s="4">
        <v>358</v>
      </c>
      <c r="C196" s="4">
        <v>36</v>
      </c>
      <c r="D196" s="5">
        <f t="shared" si="70"/>
        <v>0.1005586592178771</v>
      </c>
      <c r="E196" s="4">
        <v>87</v>
      </c>
      <c r="F196" s="5">
        <f t="shared" ref="F196:F204" si="73">SUM(E196/B196)</f>
        <v>0.24301675977653631</v>
      </c>
      <c r="G196" s="4">
        <v>4</v>
      </c>
      <c r="H196" s="5">
        <f t="shared" ref="H196:H204" si="74">SUM(G196/E196)</f>
        <v>4.5977011494252873E-2</v>
      </c>
    </row>
    <row r="197" spans="1:8" ht="24.9" customHeight="1" x14ac:dyDescent="0.25">
      <c r="A197" s="3" t="s">
        <v>209</v>
      </c>
      <c r="B197" s="4">
        <v>555</v>
      </c>
      <c r="C197" s="4">
        <v>59</v>
      </c>
      <c r="D197" s="5">
        <f t="shared" si="70"/>
        <v>0.1063063063063063</v>
      </c>
      <c r="E197" s="4"/>
      <c r="F197" s="5"/>
      <c r="G197" s="4"/>
      <c r="H197" s="5"/>
    </row>
    <row r="198" spans="1:8" ht="24.9" customHeight="1" x14ac:dyDescent="0.25">
      <c r="A198" s="3" t="s">
        <v>210</v>
      </c>
      <c r="B198" s="4">
        <v>1427</v>
      </c>
      <c r="C198" s="4">
        <v>48</v>
      </c>
      <c r="D198" s="5">
        <f t="shared" si="70"/>
        <v>3.3637000700770851E-2</v>
      </c>
      <c r="E198" s="4">
        <v>321</v>
      </c>
      <c r="F198" s="5">
        <f t="shared" si="73"/>
        <v>0.22494744218640506</v>
      </c>
      <c r="G198" s="4">
        <v>12</v>
      </c>
      <c r="H198" s="5">
        <f t="shared" si="74"/>
        <v>3.7383177570093455E-2</v>
      </c>
    </row>
    <row r="199" spans="1:8" ht="24.9" customHeight="1" x14ac:dyDescent="0.25">
      <c r="A199" s="3" t="s">
        <v>211</v>
      </c>
      <c r="B199" s="4">
        <v>4186</v>
      </c>
      <c r="C199" s="4"/>
      <c r="D199" s="5"/>
      <c r="E199" s="4">
        <v>569</v>
      </c>
      <c r="F199" s="5">
        <f t="shared" si="73"/>
        <v>0.13592928810320115</v>
      </c>
      <c r="G199" s="4">
        <v>76</v>
      </c>
      <c r="H199" s="5">
        <f t="shared" si="74"/>
        <v>0.1335676625659051</v>
      </c>
    </row>
    <row r="200" spans="1:8" ht="24.9" customHeight="1" x14ac:dyDescent="0.25">
      <c r="A200" s="3" t="s">
        <v>212</v>
      </c>
      <c r="B200" s="4">
        <v>77</v>
      </c>
      <c r="C200" s="4">
        <v>60</v>
      </c>
      <c r="D200" s="5">
        <f t="shared" si="70"/>
        <v>0.77922077922077926</v>
      </c>
      <c r="E200" s="4">
        <v>103</v>
      </c>
      <c r="F200" s="5">
        <f t="shared" si="73"/>
        <v>1.3376623376623376</v>
      </c>
      <c r="G200" s="4">
        <v>4</v>
      </c>
      <c r="H200" s="5">
        <f t="shared" si="74"/>
        <v>3.8834951456310676E-2</v>
      </c>
    </row>
    <row r="201" spans="1:8" ht="24.9" customHeight="1" x14ac:dyDescent="0.25">
      <c r="A201" s="3" t="s">
        <v>213</v>
      </c>
      <c r="B201" s="4">
        <v>557</v>
      </c>
      <c r="C201" s="4">
        <v>68</v>
      </c>
      <c r="D201" s="5">
        <f>SUM(C201/B201)</f>
        <v>0.12208258527827648</v>
      </c>
      <c r="E201" s="4"/>
      <c r="F201" s="5"/>
      <c r="G201" s="4"/>
      <c r="H201" s="5"/>
    </row>
    <row r="202" spans="1:8" ht="24.9" customHeight="1" x14ac:dyDescent="0.25">
      <c r="A202" s="3" t="s">
        <v>41</v>
      </c>
      <c r="B202" s="4">
        <v>2257</v>
      </c>
      <c r="C202" s="4"/>
      <c r="D202" s="5"/>
      <c r="E202" s="4">
        <v>508</v>
      </c>
      <c r="F202" s="5">
        <f t="shared" si="73"/>
        <v>0.22507753655294638</v>
      </c>
      <c r="G202" s="4">
        <v>35</v>
      </c>
      <c r="H202" s="5">
        <f t="shared" si="74"/>
        <v>6.8897637795275593E-2</v>
      </c>
    </row>
    <row r="203" spans="1:8" ht="24.9" customHeight="1" x14ac:dyDescent="0.25">
      <c r="A203" s="3" t="s">
        <v>214</v>
      </c>
      <c r="B203" s="4">
        <v>489</v>
      </c>
      <c r="C203" s="4">
        <v>20</v>
      </c>
      <c r="D203" s="5">
        <f>SUM(C203/B203)</f>
        <v>4.0899795501022497E-2</v>
      </c>
      <c r="E203" s="4">
        <v>47</v>
      </c>
      <c r="F203" s="5">
        <f t="shared" si="73"/>
        <v>9.6114519427402859E-2</v>
      </c>
      <c r="G203" s="4">
        <v>2</v>
      </c>
      <c r="H203" s="5">
        <f t="shared" si="74"/>
        <v>4.2553191489361701E-2</v>
      </c>
    </row>
    <row r="204" spans="1:8" ht="24.9" customHeight="1" x14ac:dyDescent="0.25">
      <c r="A204" s="3" t="s">
        <v>42</v>
      </c>
      <c r="B204" s="4">
        <v>164</v>
      </c>
      <c r="C204" s="4"/>
      <c r="D204" s="5"/>
      <c r="E204" s="4">
        <v>47</v>
      </c>
      <c r="F204" s="5">
        <f t="shared" si="73"/>
        <v>0.28658536585365851</v>
      </c>
      <c r="G204" s="4">
        <v>1</v>
      </c>
      <c r="H204" s="5">
        <f t="shared" si="74"/>
        <v>2.1276595744680851E-2</v>
      </c>
    </row>
    <row r="205" spans="1:8" ht="24.9" customHeight="1" x14ac:dyDescent="0.25">
      <c r="A205" s="3" t="s">
        <v>215</v>
      </c>
      <c r="B205" s="4">
        <v>1621</v>
      </c>
      <c r="C205" s="4"/>
      <c r="D205" s="5"/>
      <c r="E205" s="4">
        <v>305</v>
      </c>
      <c r="F205" s="5">
        <f>SUM(E205/B205)</f>
        <v>0.18815545959284391</v>
      </c>
      <c r="G205" s="4">
        <v>10</v>
      </c>
      <c r="H205" s="5">
        <f>SUM(G205/E205)</f>
        <v>3.2786885245901641E-2</v>
      </c>
    </row>
    <row r="206" spans="1:8" ht="24.9" customHeight="1" x14ac:dyDescent="0.25">
      <c r="A206" s="6" t="s">
        <v>216</v>
      </c>
      <c r="B206" s="7">
        <v>894</v>
      </c>
      <c r="C206" s="7">
        <v>120</v>
      </c>
      <c r="D206" s="5">
        <f t="shared" ref="D206:D223" si="75">SUM(C206/B206)</f>
        <v>0.13422818791946309</v>
      </c>
      <c r="E206" s="7">
        <v>388</v>
      </c>
      <c r="F206" s="8">
        <f>SUM(E206/B206)</f>
        <v>0.43400447427293065</v>
      </c>
      <c r="G206" s="7">
        <v>68</v>
      </c>
      <c r="H206" s="8">
        <f>SUM(G206/E206)</f>
        <v>0.17525773195876287</v>
      </c>
    </row>
    <row r="207" spans="1:8" ht="24.9" customHeight="1" x14ac:dyDescent="0.25">
      <c r="A207" s="6" t="s">
        <v>217</v>
      </c>
      <c r="B207" s="7">
        <v>425</v>
      </c>
      <c r="C207" s="7">
        <v>46</v>
      </c>
      <c r="D207" s="5">
        <f t="shared" si="75"/>
        <v>0.10823529411764705</v>
      </c>
      <c r="E207" s="7">
        <v>68</v>
      </c>
      <c r="F207" s="8">
        <f t="shared" ref="F207:F224" si="76">SUM(E207/B207)</f>
        <v>0.16</v>
      </c>
      <c r="G207" s="7">
        <v>1</v>
      </c>
      <c r="H207" s="8">
        <f t="shared" ref="H207:H224" si="77">SUM(G207/E207)</f>
        <v>1.4705882352941176E-2</v>
      </c>
    </row>
    <row r="208" spans="1:8" ht="24.9" customHeight="1" x14ac:dyDescent="0.25">
      <c r="A208" s="6" t="s">
        <v>218</v>
      </c>
      <c r="B208" s="7">
        <v>1593</v>
      </c>
      <c r="C208" s="7">
        <v>70</v>
      </c>
      <c r="D208" s="5">
        <f t="shared" si="75"/>
        <v>4.3942247332077841E-2</v>
      </c>
      <c r="E208" s="7">
        <v>276</v>
      </c>
      <c r="F208" s="8">
        <f t="shared" si="76"/>
        <v>0.17325800376647835</v>
      </c>
      <c r="G208" s="7">
        <v>36</v>
      </c>
      <c r="H208" s="8">
        <f t="shared" si="77"/>
        <v>0.13043478260869565</v>
      </c>
    </row>
    <row r="209" spans="1:8" ht="24.9" customHeight="1" x14ac:dyDescent="0.25">
      <c r="A209" s="6" t="s">
        <v>219</v>
      </c>
      <c r="B209" s="7">
        <v>2410</v>
      </c>
      <c r="C209" s="7"/>
      <c r="D209" s="5"/>
      <c r="E209" s="7">
        <v>275</v>
      </c>
      <c r="F209" s="8">
        <f t="shared" si="76"/>
        <v>0.11410788381742738</v>
      </c>
      <c r="G209" s="7">
        <v>9</v>
      </c>
      <c r="H209" s="8">
        <f t="shared" si="77"/>
        <v>3.272727272727273E-2</v>
      </c>
    </row>
    <row r="210" spans="1:8" ht="24.9" customHeight="1" x14ac:dyDescent="0.25">
      <c r="A210" s="6" t="s">
        <v>220</v>
      </c>
      <c r="B210" s="7">
        <v>486</v>
      </c>
      <c r="C210" s="7">
        <v>85</v>
      </c>
      <c r="D210" s="5">
        <f t="shared" si="75"/>
        <v>0.17489711934156379</v>
      </c>
      <c r="E210" s="7"/>
      <c r="F210" s="8"/>
      <c r="G210" s="7"/>
      <c r="H210" s="8"/>
    </row>
    <row r="211" spans="1:8" ht="24.9" customHeight="1" x14ac:dyDescent="0.25">
      <c r="A211" s="6" t="s">
        <v>221</v>
      </c>
      <c r="B211" s="7">
        <v>728</v>
      </c>
      <c r="C211" s="7">
        <v>74</v>
      </c>
      <c r="D211" s="5">
        <f t="shared" si="75"/>
        <v>0.10164835164835165</v>
      </c>
      <c r="E211" s="7">
        <v>185</v>
      </c>
      <c r="F211" s="8">
        <f t="shared" si="76"/>
        <v>0.25412087912087911</v>
      </c>
      <c r="G211" s="7">
        <v>17</v>
      </c>
      <c r="H211" s="8">
        <f t="shared" si="77"/>
        <v>9.1891891891891897E-2</v>
      </c>
    </row>
    <row r="212" spans="1:8" ht="24.9" customHeight="1" x14ac:dyDescent="0.25">
      <c r="A212" s="6" t="s">
        <v>222</v>
      </c>
      <c r="B212" s="7">
        <v>556</v>
      </c>
      <c r="C212" s="7">
        <v>58</v>
      </c>
      <c r="D212" s="5">
        <f t="shared" si="75"/>
        <v>0.10431654676258993</v>
      </c>
      <c r="E212" s="7">
        <v>147</v>
      </c>
      <c r="F212" s="8">
        <f t="shared" si="76"/>
        <v>0.26438848920863312</v>
      </c>
      <c r="G212" s="7">
        <v>8</v>
      </c>
      <c r="H212" s="8">
        <f t="shared" si="77"/>
        <v>5.4421768707482991E-2</v>
      </c>
    </row>
    <row r="213" spans="1:8" ht="24.9" customHeight="1" x14ac:dyDescent="0.25">
      <c r="A213" s="6" t="s">
        <v>223</v>
      </c>
      <c r="B213" s="7">
        <v>277</v>
      </c>
      <c r="C213" s="7">
        <v>30</v>
      </c>
      <c r="D213" s="5">
        <f t="shared" si="75"/>
        <v>0.10830324909747292</v>
      </c>
      <c r="E213" s="7"/>
      <c r="F213" s="8"/>
      <c r="G213" s="7"/>
      <c r="H213" s="8"/>
    </row>
    <row r="214" spans="1:8" ht="24.9" customHeight="1" x14ac:dyDescent="0.25">
      <c r="A214" s="6" t="s">
        <v>43</v>
      </c>
      <c r="B214" s="7">
        <v>878</v>
      </c>
      <c r="C214" s="7">
        <v>100</v>
      </c>
      <c r="D214" s="5">
        <f t="shared" si="75"/>
        <v>0.11389521640091116</v>
      </c>
      <c r="E214" s="7">
        <v>127</v>
      </c>
      <c r="F214" s="8">
        <f t="shared" si="76"/>
        <v>0.14464692482915717</v>
      </c>
      <c r="G214" s="7">
        <v>6</v>
      </c>
      <c r="H214" s="8">
        <f t="shared" si="77"/>
        <v>4.7244094488188976E-2</v>
      </c>
    </row>
    <row r="215" spans="1:8" ht="24.9" customHeight="1" x14ac:dyDescent="0.25">
      <c r="A215" s="6" t="s">
        <v>224</v>
      </c>
      <c r="B215" s="7">
        <v>2271</v>
      </c>
      <c r="C215" s="7">
        <v>100</v>
      </c>
      <c r="D215" s="5">
        <f t="shared" si="75"/>
        <v>4.4033465433729636E-2</v>
      </c>
      <c r="E215" s="7">
        <v>470</v>
      </c>
      <c r="F215" s="8">
        <f t="shared" si="76"/>
        <v>0.20695728753852929</v>
      </c>
      <c r="G215" s="7">
        <v>57</v>
      </c>
      <c r="H215" s="8">
        <f t="shared" si="77"/>
        <v>0.12127659574468085</v>
      </c>
    </row>
    <row r="216" spans="1:8" ht="24.9" customHeight="1" x14ac:dyDescent="0.25">
      <c r="A216" s="6" t="s">
        <v>225</v>
      </c>
      <c r="B216" s="7">
        <v>9103</v>
      </c>
      <c r="C216" s="7"/>
      <c r="D216" s="5"/>
      <c r="E216" s="7">
        <v>1501</v>
      </c>
      <c r="F216" s="8">
        <f t="shared" si="76"/>
        <v>0.16489069537515105</v>
      </c>
      <c r="G216" s="7">
        <v>200</v>
      </c>
      <c r="H216" s="8">
        <f t="shared" si="77"/>
        <v>0.13324450366422386</v>
      </c>
    </row>
    <row r="217" spans="1:8" ht="24.9" customHeight="1" x14ac:dyDescent="0.25">
      <c r="A217" s="6" t="s">
        <v>44</v>
      </c>
      <c r="B217" s="7">
        <v>1574</v>
      </c>
      <c r="C217" s="7">
        <v>63</v>
      </c>
      <c r="D217" s="5">
        <f t="shared" si="75"/>
        <v>4.0025412960609914E-2</v>
      </c>
      <c r="E217" s="7">
        <v>219</v>
      </c>
      <c r="F217" s="8">
        <f t="shared" si="76"/>
        <v>0.13913595933926304</v>
      </c>
      <c r="G217" s="7">
        <v>27</v>
      </c>
      <c r="H217" s="8">
        <f t="shared" si="77"/>
        <v>0.12328767123287671</v>
      </c>
    </row>
    <row r="218" spans="1:8" ht="24.9" customHeight="1" x14ac:dyDescent="0.25">
      <c r="A218" s="6" t="s">
        <v>226</v>
      </c>
      <c r="B218" s="7">
        <v>313</v>
      </c>
      <c r="C218" s="7">
        <v>104</v>
      </c>
      <c r="D218" s="5">
        <f t="shared" si="75"/>
        <v>0.33226837060702874</v>
      </c>
      <c r="E218" s="7"/>
      <c r="F218" s="8"/>
      <c r="G218" s="7"/>
      <c r="H218" s="8"/>
    </row>
    <row r="219" spans="1:8" ht="24.9" customHeight="1" x14ac:dyDescent="0.25">
      <c r="A219" s="6" t="s">
        <v>227</v>
      </c>
      <c r="B219" s="7">
        <v>2948</v>
      </c>
      <c r="C219" s="7"/>
      <c r="D219" s="5"/>
      <c r="E219" s="7">
        <v>531</v>
      </c>
      <c r="F219" s="8">
        <f t="shared" si="76"/>
        <v>0.18012211668928088</v>
      </c>
      <c r="G219" s="7">
        <v>34</v>
      </c>
      <c r="H219" s="8">
        <f t="shared" si="77"/>
        <v>6.4030131826741998E-2</v>
      </c>
    </row>
    <row r="220" spans="1:8" ht="24.9" customHeight="1" x14ac:dyDescent="0.25">
      <c r="A220" s="6" t="s">
        <v>228</v>
      </c>
      <c r="B220" s="7">
        <v>710</v>
      </c>
      <c r="C220" s="7">
        <v>173</v>
      </c>
      <c r="D220" s="5">
        <f t="shared" si="75"/>
        <v>0.24366197183098592</v>
      </c>
      <c r="E220" s="7">
        <v>173</v>
      </c>
      <c r="F220" s="8">
        <f t="shared" si="76"/>
        <v>0.24366197183098592</v>
      </c>
      <c r="G220" s="7">
        <v>4</v>
      </c>
      <c r="H220" s="8">
        <f t="shared" si="77"/>
        <v>2.3121387283236993E-2</v>
      </c>
    </row>
    <row r="221" spans="1:8" ht="24.9" customHeight="1" x14ac:dyDescent="0.25">
      <c r="A221" s="6" t="s">
        <v>229</v>
      </c>
      <c r="B221" s="7">
        <v>4884</v>
      </c>
      <c r="C221" s="7"/>
      <c r="D221" s="5"/>
      <c r="E221" s="7">
        <v>952</v>
      </c>
      <c r="F221" s="8">
        <f t="shared" si="76"/>
        <v>0.19492219492219492</v>
      </c>
      <c r="G221" s="7">
        <v>72</v>
      </c>
      <c r="H221" s="8">
        <f t="shared" si="77"/>
        <v>7.5630252100840331E-2</v>
      </c>
    </row>
    <row r="222" spans="1:8" ht="24.9" customHeight="1" x14ac:dyDescent="0.25">
      <c r="A222" s="6" t="s">
        <v>230</v>
      </c>
      <c r="B222" s="7">
        <v>1096</v>
      </c>
      <c r="C222" s="7">
        <v>95</v>
      </c>
      <c r="D222" s="5">
        <f t="shared" si="75"/>
        <v>8.6678832116788326E-2</v>
      </c>
      <c r="E222" s="7">
        <v>177</v>
      </c>
      <c r="F222" s="8">
        <f t="shared" si="76"/>
        <v>0.16149635036496351</v>
      </c>
      <c r="G222" s="7">
        <v>20</v>
      </c>
      <c r="H222" s="8">
        <f t="shared" si="77"/>
        <v>0.11299435028248588</v>
      </c>
    </row>
    <row r="223" spans="1:8" ht="24.9" customHeight="1" x14ac:dyDescent="0.25">
      <c r="A223" s="6" t="s">
        <v>231</v>
      </c>
      <c r="B223" s="7">
        <v>711</v>
      </c>
      <c r="C223" s="7">
        <v>94</v>
      </c>
      <c r="D223" s="5">
        <f t="shared" si="75"/>
        <v>0.13220815752461323</v>
      </c>
      <c r="E223" s="7"/>
      <c r="F223" s="8"/>
      <c r="G223" s="7"/>
      <c r="H223" s="8"/>
    </row>
    <row r="224" spans="1:8" ht="24.9" customHeight="1" x14ac:dyDescent="0.25">
      <c r="A224" s="6" t="s">
        <v>232</v>
      </c>
      <c r="B224" s="7">
        <v>281</v>
      </c>
      <c r="C224" s="7"/>
      <c r="D224" s="8"/>
      <c r="E224" s="7">
        <v>59</v>
      </c>
      <c r="F224" s="8">
        <f t="shared" si="76"/>
        <v>0.20996441281138789</v>
      </c>
      <c r="G224" s="7">
        <v>9</v>
      </c>
      <c r="H224" s="8">
        <f t="shared" si="77"/>
        <v>0.15254237288135594</v>
      </c>
    </row>
    <row r="225" spans="1:8" ht="24.9" customHeight="1" thickBot="1" x14ac:dyDescent="0.3">
      <c r="A225" s="6" t="s">
        <v>45</v>
      </c>
      <c r="B225" s="7">
        <v>748</v>
      </c>
      <c r="C225" s="7">
        <v>150</v>
      </c>
      <c r="D225" s="8">
        <f>SUM(C225/B225)</f>
        <v>0.20053475935828877</v>
      </c>
      <c r="E225" s="7">
        <v>223</v>
      </c>
      <c r="F225" s="8">
        <f>SUM(E225/B225)</f>
        <v>0.29812834224598933</v>
      </c>
      <c r="G225" s="7">
        <v>6</v>
      </c>
      <c r="H225" s="8">
        <f>SUM(G225/E225)</f>
        <v>2.6905829596412557E-2</v>
      </c>
    </row>
    <row r="226" spans="1:8" ht="24.9" customHeight="1" thickTop="1" thickBot="1" x14ac:dyDescent="0.3">
      <c r="A226" s="9" t="s">
        <v>7</v>
      </c>
      <c r="B226" s="10">
        <v>149474</v>
      </c>
      <c r="C226" s="10">
        <f>SUM(C2:C225)</f>
        <v>12226</v>
      </c>
      <c r="D226" s="11">
        <f>SUM(C226/B226)</f>
        <v>8.1793489168684855E-2</v>
      </c>
      <c r="E226" s="10"/>
      <c r="F226" s="11"/>
      <c r="G226" s="10"/>
      <c r="H226" s="11"/>
    </row>
    <row r="227" spans="1:8" ht="24.9" customHeight="1" thickTop="1" thickBot="1" x14ac:dyDescent="0.3">
      <c r="A227" s="9" t="s">
        <v>8</v>
      </c>
      <c r="B227" s="10">
        <v>389174</v>
      </c>
      <c r="C227" s="10"/>
      <c r="D227" s="11"/>
      <c r="E227" s="10">
        <f>SUM(E3:E225)</f>
        <v>89484</v>
      </c>
      <c r="F227" s="11">
        <f>SUM(E227/B227)</f>
        <v>0.22993314044617574</v>
      </c>
      <c r="G227" s="10">
        <f>SUM(G3:G225)</f>
        <v>12451</v>
      </c>
      <c r="H227" s="11">
        <f>SUM(G227/E227)</f>
        <v>0.13914219301774619</v>
      </c>
    </row>
    <row r="228" spans="1:8" ht="14.4" thickTop="1" x14ac:dyDescent="0.25"/>
    <row r="239" spans="1:8" x14ac:dyDescent="0.25">
      <c r="A239" s="12"/>
    </row>
    <row r="240" spans="1:8" x14ac:dyDescent="0.25">
      <c r="A240" s="12"/>
    </row>
    <row r="241" spans="1:1" x14ac:dyDescent="0.25">
      <c r="A241" s="12"/>
    </row>
    <row r="242" spans="1:1" x14ac:dyDescent="0.25">
      <c r="A242" s="12"/>
    </row>
    <row r="243" spans="1:1" x14ac:dyDescent="0.25">
      <c r="A243" s="12"/>
    </row>
    <row r="244" spans="1:1" x14ac:dyDescent="0.25">
      <c r="A244" s="12"/>
    </row>
    <row r="245" spans="1:1" x14ac:dyDescent="0.25">
      <c r="A245" s="12"/>
    </row>
    <row r="246" spans="1:1" x14ac:dyDescent="0.25">
      <c r="A246" s="12"/>
    </row>
    <row r="247" spans="1:1" x14ac:dyDescent="0.25">
      <c r="A247" s="12"/>
    </row>
    <row r="248" spans="1:1" x14ac:dyDescent="0.25">
      <c r="A248" s="12"/>
    </row>
    <row r="249" spans="1:1" x14ac:dyDescent="0.25">
      <c r="A249" s="12"/>
    </row>
    <row r="250" spans="1:1" x14ac:dyDescent="0.25">
      <c r="A250" s="12"/>
    </row>
    <row r="251" spans="1:1" x14ac:dyDescent="0.25">
      <c r="A251" s="12"/>
    </row>
    <row r="252" spans="1:1" x14ac:dyDescent="0.25">
      <c r="A252" s="12"/>
    </row>
    <row r="253" spans="1:1" x14ac:dyDescent="0.25">
      <c r="A253" s="12"/>
    </row>
    <row r="254" spans="1:1" x14ac:dyDescent="0.25">
      <c r="A254" s="12"/>
    </row>
    <row r="255" spans="1:1" x14ac:dyDescent="0.25">
      <c r="A255" s="12"/>
    </row>
    <row r="256" spans="1:1" x14ac:dyDescent="0.25">
      <c r="A256" s="12"/>
    </row>
    <row r="257" spans="1:1" x14ac:dyDescent="0.25">
      <c r="A257" s="12"/>
    </row>
    <row r="258" spans="1:1" x14ac:dyDescent="0.25">
      <c r="A258" s="12"/>
    </row>
    <row r="259" spans="1:1" x14ac:dyDescent="0.25">
      <c r="A259" s="12"/>
    </row>
    <row r="260" spans="1:1" x14ac:dyDescent="0.25">
      <c r="A260" s="12"/>
    </row>
    <row r="261" spans="1:1" x14ac:dyDescent="0.25">
      <c r="A261" s="12"/>
    </row>
    <row r="262" spans="1:1" x14ac:dyDescent="0.25">
      <c r="A262" s="12"/>
    </row>
    <row r="263" spans="1:1" x14ac:dyDescent="0.25">
      <c r="A263" s="12"/>
    </row>
    <row r="264" spans="1:1" x14ac:dyDescent="0.25">
      <c r="A264" s="12"/>
    </row>
    <row r="265" spans="1:1" x14ac:dyDescent="0.25">
      <c r="A265" s="12"/>
    </row>
    <row r="266" spans="1:1" x14ac:dyDescent="0.25">
      <c r="A266" s="12"/>
    </row>
    <row r="267" spans="1:1" x14ac:dyDescent="0.25">
      <c r="A267" s="12"/>
    </row>
    <row r="268" spans="1:1" x14ac:dyDescent="0.25">
      <c r="A268" s="12"/>
    </row>
    <row r="269" spans="1:1" x14ac:dyDescent="0.25">
      <c r="A269" s="12"/>
    </row>
    <row r="270" spans="1:1" x14ac:dyDescent="0.25">
      <c r="A270" s="12"/>
    </row>
    <row r="271" spans="1:1" x14ac:dyDescent="0.25">
      <c r="A271" s="12"/>
    </row>
    <row r="272" spans="1:1" x14ac:dyDescent="0.25">
      <c r="A272" s="12"/>
    </row>
    <row r="273" spans="1:1" x14ac:dyDescent="0.25">
      <c r="A273" s="12"/>
    </row>
    <row r="274" spans="1:1" x14ac:dyDescent="0.25">
      <c r="A274" s="12"/>
    </row>
    <row r="275" spans="1:1" x14ac:dyDescent="0.25">
      <c r="A275" s="12"/>
    </row>
    <row r="276" spans="1:1" x14ac:dyDescent="0.25">
      <c r="A276" s="12"/>
    </row>
    <row r="277" spans="1:1" x14ac:dyDescent="0.25">
      <c r="A277" s="12"/>
    </row>
    <row r="278" spans="1:1" x14ac:dyDescent="0.25">
      <c r="A278" s="12"/>
    </row>
    <row r="279" spans="1:1" x14ac:dyDescent="0.25">
      <c r="A279" s="12"/>
    </row>
    <row r="280" spans="1:1" x14ac:dyDescent="0.25">
      <c r="A280" s="12"/>
    </row>
    <row r="281" spans="1:1" x14ac:dyDescent="0.25">
      <c r="A281" s="12"/>
    </row>
    <row r="282" spans="1:1" x14ac:dyDescent="0.25">
      <c r="A282" s="12"/>
    </row>
    <row r="283" spans="1:1" x14ac:dyDescent="0.25">
      <c r="A283" s="12"/>
    </row>
    <row r="284" spans="1:1" x14ac:dyDescent="0.25">
      <c r="A284" s="12"/>
    </row>
    <row r="285" spans="1:1" x14ac:dyDescent="0.25">
      <c r="A285" s="12"/>
    </row>
    <row r="286" spans="1:1" x14ac:dyDescent="0.25">
      <c r="A286" s="12"/>
    </row>
    <row r="287" spans="1:1" x14ac:dyDescent="0.25">
      <c r="A287" s="12"/>
    </row>
    <row r="288" spans="1:1" x14ac:dyDescent="0.25">
      <c r="A288" s="12"/>
    </row>
    <row r="289" spans="1:1" x14ac:dyDescent="0.25">
      <c r="A289" s="12"/>
    </row>
    <row r="290" spans="1:1" x14ac:dyDescent="0.25">
      <c r="A290" s="12"/>
    </row>
    <row r="291" spans="1:1" x14ac:dyDescent="0.25">
      <c r="A291" s="12"/>
    </row>
    <row r="292" spans="1:1" x14ac:dyDescent="0.25">
      <c r="A292" s="12"/>
    </row>
    <row r="293" spans="1:1" x14ac:dyDescent="0.25">
      <c r="A293" s="12"/>
    </row>
    <row r="294" spans="1:1" x14ac:dyDescent="0.25">
      <c r="A294" s="12"/>
    </row>
    <row r="295" spans="1:1" x14ac:dyDescent="0.25">
      <c r="A295" s="12"/>
    </row>
    <row r="296" spans="1:1" x14ac:dyDescent="0.25">
      <c r="A296" s="12"/>
    </row>
    <row r="297" spans="1:1" x14ac:dyDescent="0.25">
      <c r="A297" s="12"/>
    </row>
    <row r="298" spans="1:1" x14ac:dyDescent="0.25">
      <c r="A298" s="12"/>
    </row>
    <row r="299" spans="1:1" x14ac:dyDescent="0.25">
      <c r="A299" s="12"/>
    </row>
    <row r="300" spans="1:1" x14ac:dyDescent="0.25">
      <c r="A300" s="12"/>
    </row>
    <row r="301" spans="1:1" x14ac:dyDescent="0.25">
      <c r="A301" s="12"/>
    </row>
    <row r="302" spans="1:1" x14ac:dyDescent="0.25">
      <c r="A302" s="12"/>
    </row>
    <row r="303" spans="1:1" x14ac:dyDescent="0.25">
      <c r="A303" s="12"/>
    </row>
    <row r="304" spans="1:1" x14ac:dyDescent="0.25">
      <c r="A304" s="12"/>
    </row>
    <row r="305" spans="1:1" x14ac:dyDescent="0.25">
      <c r="A305" s="12"/>
    </row>
    <row r="306" spans="1:1" x14ac:dyDescent="0.25">
      <c r="A306" s="12"/>
    </row>
    <row r="307" spans="1:1" x14ac:dyDescent="0.25">
      <c r="A307" s="12"/>
    </row>
    <row r="308" spans="1:1" x14ac:dyDescent="0.25">
      <c r="A308" s="12"/>
    </row>
    <row r="309" spans="1:1" x14ac:dyDescent="0.25">
      <c r="A309" s="12"/>
    </row>
    <row r="310" spans="1:1" x14ac:dyDescent="0.25">
      <c r="A310" s="12"/>
    </row>
    <row r="311" spans="1:1" x14ac:dyDescent="0.25">
      <c r="A311" s="12"/>
    </row>
    <row r="312" spans="1:1" x14ac:dyDescent="0.25">
      <c r="A312" s="12"/>
    </row>
    <row r="313" spans="1:1" x14ac:dyDescent="0.25">
      <c r="A313" s="12"/>
    </row>
    <row r="314" spans="1:1" x14ac:dyDescent="0.25">
      <c r="A314" s="12"/>
    </row>
    <row r="315" spans="1:1" x14ac:dyDescent="0.25">
      <c r="A315" s="12"/>
    </row>
    <row r="316" spans="1:1" x14ac:dyDescent="0.25">
      <c r="A316" s="12"/>
    </row>
    <row r="317" spans="1:1" x14ac:dyDescent="0.25">
      <c r="A317" s="12"/>
    </row>
    <row r="318" spans="1:1" x14ac:dyDescent="0.25">
      <c r="A318" s="12"/>
    </row>
    <row r="319" spans="1:1" x14ac:dyDescent="0.25">
      <c r="A319" s="12"/>
    </row>
    <row r="320" spans="1:1" x14ac:dyDescent="0.25">
      <c r="A320" s="12"/>
    </row>
    <row r="321" spans="1:1" x14ac:dyDescent="0.25">
      <c r="A321" s="12"/>
    </row>
    <row r="322" spans="1:1" x14ac:dyDescent="0.25">
      <c r="A322" s="12"/>
    </row>
    <row r="323" spans="1:1" x14ac:dyDescent="0.25">
      <c r="A323" s="12"/>
    </row>
    <row r="324" spans="1:1" x14ac:dyDescent="0.25">
      <c r="A324" s="12"/>
    </row>
    <row r="325" spans="1:1" x14ac:dyDescent="0.25">
      <c r="A325" s="12"/>
    </row>
    <row r="326" spans="1:1" x14ac:dyDescent="0.25">
      <c r="A326" s="12"/>
    </row>
    <row r="327" spans="1:1" x14ac:dyDescent="0.25">
      <c r="A327" s="12"/>
    </row>
    <row r="328" spans="1:1" x14ac:dyDescent="0.25">
      <c r="A328" s="12"/>
    </row>
    <row r="329" spans="1:1" x14ac:dyDescent="0.25">
      <c r="A329" s="12"/>
    </row>
    <row r="330" spans="1:1" x14ac:dyDescent="0.25">
      <c r="A330" s="12"/>
    </row>
    <row r="331" spans="1:1" x14ac:dyDescent="0.25">
      <c r="A331" s="12"/>
    </row>
    <row r="332" spans="1:1" x14ac:dyDescent="0.25">
      <c r="A332" s="12"/>
    </row>
    <row r="333" spans="1:1" x14ac:dyDescent="0.25">
      <c r="A333" s="12"/>
    </row>
    <row r="334" spans="1:1" x14ac:dyDescent="0.25">
      <c r="A334" s="12"/>
    </row>
    <row r="335" spans="1:1" x14ac:dyDescent="0.25">
      <c r="A335" s="12"/>
    </row>
    <row r="336" spans="1:1" x14ac:dyDescent="0.25">
      <c r="A336" s="12"/>
    </row>
    <row r="337" spans="1:1" x14ac:dyDescent="0.25">
      <c r="A337" s="12"/>
    </row>
    <row r="338" spans="1:1" x14ac:dyDescent="0.25">
      <c r="A338" s="12"/>
    </row>
    <row r="339" spans="1:1" x14ac:dyDescent="0.25">
      <c r="A339" s="12"/>
    </row>
    <row r="340" spans="1:1" x14ac:dyDescent="0.25">
      <c r="A340" s="12"/>
    </row>
    <row r="341" spans="1:1" x14ac:dyDescent="0.25">
      <c r="A341" s="12"/>
    </row>
    <row r="342" spans="1:1" x14ac:dyDescent="0.25">
      <c r="A342" s="12"/>
    </row>
    <row r="343" spans="1:1" x14ac:dyDescent="0.25">
      <c r="A343" s="12"/>
    </row>
    <row r="344" spans="1:1" x14ac:dyDescent="0.25">
      <c r="A344" s="12"/>
    </row>
    <row r="345" spans="1:1" x14ac:dyDescent="0.25">
      <c r="A345" s="12"/>
    </row>
    <row r="346" spans="1:1" x14ac:dyDescent="0.25">
      <c r="A346" s="12"/>
    </row>
    <row r="347" spans="1:1" x14ac:dyDescent="0.25">
      <c r="A347" s="12"/>
    </row>
    <row r="348" spans="1:1" x14ac:dyDescent="0.25">
      <c r="A348" s="12"/>
    </row>
    <row r="349" spans="1:1" x14ac:dyDescent="0.25">
      <c r="A349" s="12"/>
    </row>
    <row r="350" spans="1:1" x14ac:dyDescent="0.25">
      <c r="A350" s="12"/>
    </row>
    <row r="351" spans="1:1" x14ac:dyDescent="0.25">
      <c r="A351" s="12"/>
    </row>
    <row r="352" spans="1:1" x14ac:dyDescent="0.25">
      <c r="A352" s="12"/>
    </row>
    <row r="353" spans="1:1" x14ac:dyDescent="0.25">
      <c r="A353" s="12"/>
    </row>
    <row r="354" spans="1:1" x14ac:dyDescent="0.25">
      <c r="A354" s="12"/>
    </row>
    <row r="355" spans="1:1" x14ac:dyDescent="0.25">
      <c r="A355" s="12"/>
    </row>
    <row r="356" spans="1:1" x14ac:dyDescent="0.25">
      <c r="A356" s="12"/>
    </row>
    <row r="357" spans="1:1" x14ac:dyDescent="0.25">
      <c r="A357" s="12"/>
    </row>
    <row r="358" spans="1:1" x14ac:dyDescent="0.25">
      <c r="A358" s="12"/>
    </row>
    <row r="359" spans="1:1" x14ac:dyDescent="0.25">
      <c r="A359" s="12"/>
    </row>
    <row r="360" spans="1:1" x14ac:dyDescent="0.25">
      <c r="A360" s="12"/>
    </row>
    <row r="361" spans="1:1" x14ac:dyDescent="0.25">
      <c r="A361" s="12"/>
    </row>
    <row r="362" spans="1:1" x14ac:dyDescent="0.25">
      <c r="A362" s="12"/>
    </row>
    <row r="363" spans="1:1" x14ac:dyDescent="0.25">
      <c r="A363" s="12"/>
    </row>
    <row r="364" spans="1:1" x14ac:dyDescent="0.25">
      <c r="A364" s="12"/>
    </row>
    <row r="365" spans="1:1" x14ac:dyDescent="0.25">
      <c r="A365" s="12"/>
    </row>
    <row r="366" spans="1:1" x14ac:dyDescent="0.25">
      <c r="A366" s="12"/>
    </row>
    <row r="367" spans="1:1" x14ac:dyDescent="0.25">
      <c r="A367" s="12"/>
    </row>
    <row r="368" spans="1:1" x14ac:dyDescent="0.25">
      <c r="A368" s="12"/>
    </row>
    <row r="369" spans="1:1" x14ac:dyDescent="0.25">
      <c r="A369" s="12"/>
    </row>
    <row r="370" spans="1:1" x14ac:dyDescent="0.25">
      <c r="A370" s="12"/>
    </row>
    <row r="371" spans="1:1" x14ac:dyDescent="0.25">
      <c r="A371" s="12"/>
    </row>
    <row r="372" spans="1:1" x14ac:dyDescent="0.25">
      <c r="A372" s="12"/>
    </row>
    <row r="373" spans="1:1" x14ac:dyDescent="0.25">
      <c r="A373" s="12"/>
    </row>
    <row r="374" spans="1:1" x14ac:dyDescent="0.25">
      <c r="A374" s="12"/>
    </row>
    <row r="375" spans="1:1" x14ac:dyDescent="0.25">
      <c r="A375" s="12"/>
    </row>
    <row r="376" spans="1:1" x14ac:dyDescent="0.25">
      <c r="A376" s="12"/>
    </row>
    <row r="377" spans="1:1" x14ac:dyDescent="0.25">
      <c r="A377" s="12"/>
    </row>
    <row r="378" spans="1:1" x14ac:dyDescent="0.25">
      <c r="A378" s="12"/>
    </row>
    <row r="379" spans="1:1" x14ac:dyDescent="0.25">
      <c r="A379" s="12"/>
    </row>
    <row r="380" spans="1:1" x14ac:dyDescent="0.25">
      <c r="A380" s="12"/>
    </row>
    <row r="381" spans="1:1" x14ac:dyDescent="0.25">
      <c r="A381" s="12"/>
    </row>
    <row r="382" spans="1:1" x14ac:dyDescent="0.25">
      <c r="A382" s="12"/>
    </row>
    <row r="383" spans="1:1" x14ac:dyDescent="0.25">
      <c r="A383" s="12"/>
    </row>
    <row r="384" spans="1:1" x14ac:dyDescent="0.25">
      <c r="A384" s="12"/>
    </row>
    <row r="385" spans="1:1" x14ac:dyDescent="0.25">
      <c r="A385" s="12"/>
    </row>
    <row r="386" spans="1:1" x14ac:dyDescent="0.25">
      <c r="A386" s="12"/>
    </row>
    <row r="387" spans="1:1" x14ac:dyDescent="0.25">
      <c r="A387" s="12"/>
    </row>
    <row r="388" spans="1:1" x14ac:dyDescent="0.25">
      <c r="A388" s="12"/>
    </row>
    <row r="389" spans="1:1" x14ac:dyDescent="0.25">
      <c r="A389" s="12"/>
    </row>
    <row r="390" spans="1:1" x14ac:dyDescent="0.25">
      <c r="A390" s="12"/>
    </row>
    <row r="391" spans="1:1" x14ac:dyDescent="0.25">
      <c r="A391" s="12"/>
    </row>
    <row r="392" spans="1:1" x14ac:dyDescent="0.25">
      <c r="A392" s="12"/>
    </row>
    <row r="393" spans="1:1" x14ac:dyDescent="0.25">
      <c r="A393" s="12"/>
    </row>
    <row r="394" spans="1:1" x14ac:dyDescent="0.25">
      <c r="A394" s="12"/>
    </row>
    <row r="395" spans="1:1" x14ac:dyDescent="0.25">
      <c r="A395" s="12"/>
    </row>
    <row r="396" spans="1:1" x14ac:dyDescent="0.25">
      <c r="A396" s="12"/>
    </row>
    <row r="397" spans="1:1" x14ac:dyDescent="0.25">
      <c r="A397" s="12"/>
    </row>
    <row r="398" spans="1:1" x14ac:dyDescent="0.25">
      <c r="A398" s="12"/>
    </row>
    <row r="399" spans="1:1" x14ac:dyDescent="0.25">
      <c r="A399" s="12"/>
    </row>
    <row r="400" spans="1:1" x14ac:dyDescent="0.25">
      <c r="A400" s="12"/>
    </row>
    <row r="401" spans="1:1" x14ac:dyDescent="0.25">
      <c r="A401" s="12"/>
    </row>
    <row r="402" spans="1:1" x14ac:dyDescent="0.25">
      <c r="A402" s="12"/>
    </row>
    <row r="403" spans="1:1" x14ac:dyDescent="0.25">
      <c r="A403" s="12"/>
    </row>
    <row r="404" spans="1:1" x14ac:dyDescent="0.25">
      <c r="A404" s="12"/>
    </row>
    <row r="405" spans="1:1" x14ac:dyDescent="0.25">
      <c r="A405" s="12"/>
    </row>
    <row r="406" spans="1:1" x14ac:dyDescent="0.25">
      <c r="A406" s="12"/>
    </row>
    <row r="407" spans="1:1" x14ac:dyDescent="0.25">
      <c r="A407" s="12"/>
    </row>
    <row r="408" spans="1:1" x14ac:dyDescent="0.25">
      <c r="A408" s="12"/>
    </row>
    <row r="409" spans="1:1" x14ac:dyDescent="0.25">
      <c r="A409" s="12"/>
    </row>
    <row r="410" spans="1:1" x14ac:dyDescent="0.25">
      <c r="A410" s="12"/>
    </row>
    <row r="411" spans="1:1" x14ac:dyDescent="0.25">
      <c r="A411" s="12"/>
    </row>
    <row r="412" spans="1:1" x14ac:dyDescent="0.25">
      <c r="A412" s="12"/>
    </row>
    <row r="413" spans="1:1" x14ac:dyDescent="0.25">
      <c r="A413" s="12"/>
    </row>
    <row r="414" spans="1:1" x14ac:dyDescent="0.25">
      <c r="A414" s="12"/>
    </row>
    <row r="415" spans="1:1" x14ac:dyDescent="0.25">
      <c r="A415" s="12"/>
    </row>
    <row r="416" spans="1:1" x14ac:dyDescent="0.25">
      <c r="A416" s="12"/>
    </row>
    <row r="417" spans="1:1" x14ac:dyDescent="0.25">
      <c r="A417" s="12"/>
    </row>
    <row r="418" spans="1:1" x14ac:dyDescent="0.25">
      <c r="A418" s="12"/>
    </row>
    <row r="419" spans="1:1" x14ac:dyDescent="0.25">
      <c r="A419" s="12"/>
    </row>
    <row r="420" spans="1:1" x14ac:dyDescent="0.25">
      <c r="A420" s="12"/>
    </row>
    <row r="421" spans="1:1" x14ac:dyDescent="0.25">
      <c r="A421" s="12"/>
    </row>
    <row r="422" spans="1:1" x14ac:dyDescent="0.25">
      <c r="A422" s="12"/>
    </row>
    <row r="423" spans="1:1" x14ac:dyDescent="0.25">
      <c r="A423" s="12"/>
    </row>
    <row r="424" spans="1:1" x14ac:dyDescent="0.25">
      <c r="A424" s="12"/>
    </row>
    <row r="425" spans="1:1" x14ac:dyDescent="0.25">
      <c r="A425" s="12"/>
    </row>
    <row r="426" spans="1:1" x14ac:dyDescent="0.25">
      <c r="A426" s="12"/>
    </row>
    <row r="427" spans="1:1" x14ac:dyDescent="0.25">
      <c r="A427" s="12"/>
    </row>
    <row r="428" spans="1:1" x14ac:dyDescent="0.25">
      <c r="A428" s="12"/>
    </row>
    <row r="429" spans="1:1" x14ac:dyDescent="0.25">
      <c r="A429" s="12"/>
    </row>
    <row r="430" spans="1:1" x14ac:dyDescent="0.25">
      <c r="A430" s="12"/>
    </row>
    <row r="431" spans="1:1" x14ac:dyDescent="0.25">
      <c r="A431" s="12"/>
    </row>
    <row r="432" spans="1:1" x14ac:dyDescent="0.25">
      <c r="A432" s="12"/>
    </row>
    <row r="433" spans="1:1" x14ac:dyDescent="0.25">
      <c r="A433" s="12"/>
    </row>
    <row r="434" spans="1:1" x14ac:dyDescent="0.25">
      <c r="A434" s="12"/>
    </row>
    <row r="435" spans="1:1" x14ac:dyDescent="0.25">
      <c r="A435" s="12"/>
    </row>
    <row r="436" spans="1:1" x14ac:dyDescent="0.25">
      <c r="A436" s="12"/>
    </row>
    <row r="437" spans="1:1" x14ac:dyDescent="0.25">
      <c r="A437" s="12"/>
    </row>
    <row r="438" spans="1:1" x14ac:dyDescent="0.25">
      <c r="A438" s="12"/>
    </row>
    <row r="439" spans="1:1" x14ac:dyDescent="0.25">
      <c r="A439" s="12"/>
    </row>
    <row r="440" spans="1:1" x14ac:dyDescent="0.25">
      <c r="A440" s="12"/>
    </row>
    <row r="441" spans="1:1" x14ac:dyDescent="0.25">
      <c r="A441" s="12"/>
    </row>
    <row r="442" spans="1:1" x14ac:dyDescent="0.25">
      <c r="A442" s="12"/>
    </row>
    <row r="443" spans="1:1" x14ac:dyDescent="0.25">
      <c r="A443" s="12"/>
    </row>
    <row r="444" spans="1:1" x14ac:dyDescent="0.25">
      <c r="A444" s="12"/>
    </row>
    <row r="445" spans="1:1" x14ac:dyDescent="0.25">
      <c r="A445" s="12"/>
    </row>
    <row r="446" spans="1:1" x14ac:dyDescent="0.25">
      <c r="A446" s="12"/>
    </row>
    <row r="447" spans="1:1" x14ac:dyDescent="0.25">
      <c r="A447" s="12"/>
    </row>
    <row r="448" spans="1:1" x14ac:dyDescent="0.25">
      <c r="A448" s="12"/>
    </row>
    <row r="449" spans="1:1" x14ac:dyDescent="0.25">
      <c r="A449" s="12"/>
    </row>
    <row r="450" spans="1:1" x14ac:dyDescent="0.25">
      <c r="A450" s="12"/>
    </row>
    <row r="451" spans="1:1" x14ac:dyDescent="0.25">
      <c r="A451" s="12"/>
    </row>
    <row r="452" spans="1:1" x14ac:dyDescent="0.25">
      <c r="A452" s="12"/>
    </row>
    <row r="453" spans="1:1" x14ac:dyDescent="0.25">
      <c r="A453" s="12"/>
    </row>
    <row r="454" spans="1:1" x14ac:dyDescent="0.25">
      <c r="A454" s="12"/>
    </row>
    <row r="455" spans="1:1" x14ac:dyDescent="0.25">
      <c r="A455" s="12"/>
    </row>
    <row r="456" spans="1:1" x14ac:dyDescent="0.25">
      <c r="A456" s="12"/>
    </row>
    <row r="457" spans="1:1" x14ac:dyDescent="0.25">
      <c r="A457" s="12"/>
    </row>
    <row r="458" spans="1:1" x14ac:dyDescent="0.25">
      <c r="A458" s="12"/>
    </row>
    <row r="459" spans="1:1" x14ac:dyDescent="0.25">
      <c r="A459" s="12"/>
    </row>
    <row r="460" spans="1:1" x14ac:dyDescent="0.25">
      <c r="A460" s="12"/>
    </row>
    <row r="461" spans="1:1" x14ac:dyDescent="0.25">
      <c r="A461" s="12"/>
    </row>
    <row r="462" spans="1:1" x14ac:dyDescent="0.25">
      <c r="A462" s="12"/>
    </row>
    <row r="463" spans="1:1" x14ac:dyDescent="0.25">
      <c r="A463" s="12"/>
    </row>
    <row r="464" spans="1:1" x14ac:dyDescent="0.25">
      <c r="A464" s="12"/>
    </row>
    <row r="465" spans="1:1" x14ac:dyDescent="0.25">
      <c r="A465" s="12"/>
    </row>
    <row r="466" spans="1:1" x14ac:dyDescent="0.25">
      <c r="A466" s="12"/>
    </row>
    <row r="467" spans="1:1" x14ac:dyDescent="0.25">
      <c r="A467" s="12"/>
    </row>
    <row r="468" spans="1:1" x14ac:dyDescent="0.25">
      <c r="A468" s="12"/>
    </row>
    <row r="469" spans="1:1" x14ac:dyDescent="0.25">
      <c r="A469" s="12"/>
    </row>
    <row r="470" spans="1:1" x14ac:dyDescent="0.25">
      <c r="A470" s="12"/>
    </row>
    <row r="471" spans="1:1" x14ac:dyDescent="0.25">
      <c r="A471" s="12"/>
    </row>
    <row r="472" spans="1:1" x14ac:dyDescent="0.25">
      <c r="A472" s="12"/>
    </row>
    <row r="473" spans="1:1" x14ac:dyDescent="0.25">
      <c r="A473" s="12"/>
    </row>
    <row r="474" spans="1:1" x14ac:dyDescent="0.25">
      <c r="A474" s="12"/>
    </row>
    <row r="475" spans="1:1" x14ac:dyDescent="0.25">
      <c r="A475" s="12"/>
    </row>
    <row r="476" spans="1:1" x14ac:dyDescent="0.25">
      <c r="A476" s="12"/>
    </row>
  </sheetData>
  <mergeCells count="1">
    <mergeCell ref="A1:H1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DE6UZ2SY5E43-1273115200-264</_dlc_DocId>
    <_dlc_DocIdUrl xmlns="3b005fd8-62d5-4927-a0f9-fdac9185221f">
      <Url>https://outside.vermont.gov/dept/sos/_layouts/15/DocIdRedir.aspx?ID=DE6UZ2SY5E43-1273115200-264</Url>
      <Description>DE6UZ2SY5E43-1273115200-264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E45EE90-9C2B-437B-ABA2-462879BF56E8}"/>
</file>

<file path=customXml/itemProps2.xml><?xml version="1.0" encoding="utf-8"?>
<ds:datastoreItem xmlns:ds="http://schemas.openxmlformats.org/officeDocument/2006/customXml" ds:itemID="{60895E80-FAD9-4DED-8D06-4C53FAE92B3D}"/>
</file>

<file path=customXml/itemProps3.xml><?xml version="1.0" encoding="utf-8"?>
<ds:datastoreItem xmlns:ds="http://schemas.openxmlformats.org/officeDocument/2006/customXml" ds:itemID="{DDB9FFD8-8B4D-4AB9-80C4-C4BE121A0481}"/>
</file>

<file path=customXml/itemProps4.xml><?xml version="1.0" encoding="utf-8"?>
<ds:datastoreItem xmlns:ds="http://schemas.openxmlformats.org/officeDocument/2006/customXml" ds:itemID="{60A3504C-B87E-4C1C-88F1-2C102AD48C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Vermont Secretary of State's Office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Harrington, Liz</dc:creator>
  <cp:lastModifiedBy>Harrington, Liz</cp:lastModifiedBy>
  <dcterms:created xsi:type="dcterms:W3CDTF">2018-05-11T14:56:29Z</dcterms:created>
  <dcterms:modified xsi:type="dcterms:W3CDTF">2018-05-16T20:09:27Z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a3777239-2d3a-4463-a9bf-bc6706ebeb33</vt:lpwstr>
  </property>
</Properties>
</file>