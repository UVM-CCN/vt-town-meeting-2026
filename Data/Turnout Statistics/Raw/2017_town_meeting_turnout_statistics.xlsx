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liz.harrington\Desktop\"/>
    </mc:Choice>
  </mc:AlternateContent>
  <bookViews>
    <workbookView xWindow="0" yWindow="0" windowWidth="23016" windowHeight="4212"/>
  </bookViews>
  <sheets>
    <sheet name="Sheet1" sheetId="1" r:id="rId1"/>
    <sheet name="Sheet2" sheetId="2" r:id="rId2"/>
  </sheets>
  <definedNames>
    <definedName name="_xlnm._FilterDatabase" localSheetId="0" hidden="1">Sheet1!$A$1:$H$208</definedName>
  </definedNames>
  <calcPr calcId="152511"/>
</workbook>
</file>

<file path=xl/calcChain.xml><?xml version="1.0" encoding="utf-8"?>
<calcChain xmlns="http://schemas.openxmlformats.org/spreadsheetml/2006/main">
  <c r="G209" i="1" l="1"/>
  <c r="E209" i="1"/>
  <c r="D135" i="1" l="1"/>
  <c r="F200" i="1"/>
  <c r="F193" i="1"/>
  <c r="F183" i="1"/>
  <c r="F184" i="1"/>
  <c r="F178" i="1"/>
  <c r="F172" i="1"/>
  <c r="F173" i="1"/>
  <c r="F170" i="1"/>
  <c r="F164" i="1"/>
  <c r="F160" i="1"/>
  <c r="F149" i="1"/>
  <c r="F127" i="1"/>
  <c r="F28" i="1"/>
  <c r="F15" i="1"/>
  <c r="F10" i="1"/>
  <c r="F11" i="1"/>
  <c r="F12" i="1"/>
  <c r="F33" i="1"/>
  <c r="F72" i="1"/>
  <c r="F85" i="1"/>
  <c r="F88" i="1"/>
  <c r="F90" i="1"/>
  <c r="F91" i="1"/>
  <c r="C208" i="1"/>
  <c r="H171" i="1" l="1"/>
  <c r="H172" i="1"/>
  <c r="H173" i="1"/>
  <c r="H183" i="1"/>
  <c r="H184" i="1"/>
  <c r="H206" i="1"/>
  <c r="H178" i="1"/>
  <c r="H170" i="1"/>
  <c r="H164" i="1"/>
  <c r="H160" i="1"/>
  <c r="H151" i="1"/>
  <c r="H149" i="1"/>
  <c r="H145" i="1"/>
  <c r="H139" i="1"/>
  <c r="H135" i="1"/>
  <c r="H127" i="1"/>
  <c r="H101" i="1"/>
  <c r="H91" i="1"/>
  <c r="H90" i="1"/>
  <c r="H88" i="1"/>
  <c r="H85" i="1"/>
  <c r="H79" i="1"/>
  <c r="H77" i="1"/>
  <c r="H72" i="1"/>
  <c r="H66" i="1"/>
  <c r="H52" i="1"/>
  <c r="H35" i="1"/>
  <c r="H33" i="1"/>
  <c r="H25" i="1"/>
  <c r="H15" i="1"/>
  <c r="H12" i="1"/>
  <c r="H10" i="1"/>
  <c r="F206" i="1" l="1"/>
  <c r="F191" i="1"/>
  <c r="F151" i="1"/>
  <c r="F145" i="1"/>
  <c r="F139" i="1"/>
  <c r="F135" i="1"/>
  <c r="F101" i="1"/>
  <c r="F79" i="1"/>
  <c r="F77" i="1"/>
  <c r="F66" i="1"/>
  <c r="F52" i="1"/>
  <c r="F50" i="1"/>
  <c r="F35" i="1"/>
  <c r="F25" i="1"/>
  <c r="D207" i="1"/>
  <c r="D198" i="1"/>
  <c r="D194" i="1"/>
  <c r="D193" i="1"/>
  <c r="D192" i="1"/>
  <c r="D181" i="1"/>
  <c r="D176" i="1"/>
  <c r="D174" i="1"/>
  <c r="D172" i="1"/>
  <c r="D171" i="1"/>
  <c r="D169" i="1"/>
  <c r="D168" i="1"/>
  <c r="D163" i="1"/>
  <c r="D160" i="1"/>
  <c r="D161" i="1"/>
  <c r="D149" i="1"/>
  <c r="D147" i="1"/>
  <c r="D145" i="1"/>
  <c r="D137" i="1"/>
  <c r="D136" i="1"/>
  <c r="D119" i="1"/>
  <c r="D115" i="1"/>
  <c r="D111" i="1"/>
  <c r="D106" i="1"/>
  <c r="D101" i="1"/>
  <c r="D100" i="1"/>
  <c r="D91" i="1"/>
  <c r="D90" i="1"/>
  <c r="D84" i="1"/>
  <c r="D72" i="1"/>
  <c r="D67" i="1"/>
  <c r="D66" i="1"/>
  <c r="D65" i="1" l="1"/>
  <c r="D52" i="1"/>
  <c r="D51" i="1"/>
  <c r="D50" i="1"/>
  <c r="D47" i="1"/>
  <c r="F47" i="1"/>
  <c r="D37" i="1"/>
  <c r="D33" i="1"/>
  <c r="D29" i="1"/>
  <c r="D18" i="1"/>
  <c r="D9" i="1"/>
  <c r="D5" i="1"/>
  <c r="D8" i="1"/>
  <c r="F209" i="1" l="1"/>
  <c r="H209" i="1" l="1"/>
  <c r="H13" i="1"/>
  <c r="H14" i="1"/>
  <c r="H17" i="1"/>
  <c r="H20" i="1"/>
  <c r="H21" i="1"/>
  <c r="H23" i="1"/>
  <c r="H24" i="1"/>
  <c r="H26" i="1"/>
  <c r="H30" i="1"/>
  <c r="H31" i="1"/>
  <c r="H32" i="1"/>
  <c r="H34" i="1"/>
  <c r="H36" i="1"/>
  <c r="H37" i="1"/>
  <c r="H39" i="1"/>
  <c r="H40" i="1"/>
  <c r="H41" i="1"/>
  <c r="H42" i="1"/>
  <c r="H43" i="1"/>
  <c r="H44" i="1"/>
  <c r="H45" i="1"/>
  <c r="H46" i="1"/>
  <c r="H47" i="1"/>
  <c r="H48" i="1"/>
  <c r="H49" i="1"/>
  <c r="H51" i="1"/>
  <c r="H53" i="1"/>
  <c r="H54" i="1"/>
  <c r="H55" i="1"/>
  <c r="H56" i="1"/>
  <c r="H57" i="1"/>
  <c r="H62" i="1"/>
  <c r="H64" i="1"/>
  <c r="H65" i="1"/>
  <c r="H70" i="1"/>
  <c r="H71" i="1"/>
  <c r="H73" i="1"/>
  <c r="H74" i="1"/>
  <c r="H75" i="1"/>
  <c r="H76" i="1"/>
  <c r="H78" i="1"/>
  <c r="H80" i="1"/>
  <c r="H81" i="1"/>
  <c r="H83" i="1"/>
  <c r="H86" i="1"/>
  <c r="H87" i="1"/>
  <c r="H92" i="1"/>
  <c r="H93" i="1"/>
  <c r="H94" i="1"/>
  <c r="H95" i="1"/>
  <c r="H97" i="1"/>
  <c r="H98" i="1"/>
  <c r="H99" i="1"/>
  <c r="H100" i="1"/>
  <c r="H102" i="1"/>
  <c r="H103" i="1"/>
  <c r="H104" i="1"/>
  <c r="H106" i="1"/>
  <c r="H107" i="1"/>
  <c r="H108" i="1"/>
  <c r="H110" i="1"/>
  <c r="H112" i="1"/>
  <c r="H113" i="1"/>
  <c r="H114" i="1"/>
  <c r="H115" i="1"/>
  <c r="H117" i="1"/>
  <c r="H119" i="1"/>
  <c r="H120" i="1"/>
  <c r="H121" i="1"/>
  <c r="H124" i="1"/>
  <c r="H125" i="1"/>
  <c r="H128" i="1"/>
  <c r="H129" i="1"/>
  <c r="H130" i="1"/>
  <c r="H132" i="1"/>
  <c r="H133" i="1"/>
  <c r="H134" i="1"/>
  <c r="H137" i="1"/>
  <c r="H138" i="1"/>
  <c r="H140" i="1"/>
  <c r="H141" i="1"/>
  <c r="H143" i="1"/>
  <c r="H144" i="1"/>
  <c r="H146" i="1"/>
  <c r="H147" i="1"/>
  <c r="H152" i="1"/>
  <c r="H153" i="1"/>
  <c r="H154" i="1"/>
  <c r="H155" i="1"/>
  <c r="H156" i="1"/>
  <c r="H158" i="1"/>
  <c r="H165" i="1"/>
  <c r="H169" i="1"/>
  <c r="H174" i="1"/>
  <c r="H175" i="1"/>
  <c r="H179" i="1"/>
  <c r="H180" i="1"/>
  <c r="H181" i="1"/>
  <c r="H185" i="1"/>
  <c r="H186" i="1"/>
  <c r="H188" i="1"/>
  <c r="H189" i="1"/>
  <c r="H190" i="1"/>
  <c r="H195" i="1"/>
  <c r="H196" i="1"/>
  <c r="H197" i="1"/>
  <c r="H198" i="1"/>
  <c r="H201" i="1"/>
  <c r="H202" i="1"/>
  <c r="H203" i="1"/>
  <c r="H205" i="1"/>
  <c r="H207" i="1"/>
  <c r="H4" i="1"/>
  <c r="H6" i="1"/>
  <c r="F4" i="1"/>
  <c r="F6" i="1"/>
  <c r="F13" i="1"/>
  <c r="F14" i="1"/>
  <c r="F17" i="1"/>
  <c r="F20" i="1"/>
  <c r="F21" i="1"/>
  <c r="F23" i="1"/>
  <c r="F24" i="1"/>
  <c r="F26" i="1"/>
  <c r="F30" i="1"/>
  <c r="F31" i="1"/>
  <c r="F32" i="1"/>
  <c r="F34" i="1"/>
  <c r="F36" i="1"/>
  <c r="F37" i="1"/>
  <c r="F39" i="1"/>
  <c r="F40" i="1"/>
  <c r="F41" i="1"/>
  <c r="F42" i="1"/>
  <c r="F43" i="1"/>
  <c r="F44" i="1"/>
  <c r="F45" i="1"/>
  <c r="F46" i="1"/>
  <c r="F48" i="1"/>
  <c r="F49" i="1"/>
  <c r="F51" i="1"/>
  <c r="F53" i="1"/>
  <c r="F54" i="1"/>
  <c r="F55" i="1"/>
  <c r="F56" i="1"/>
  <c r="F57" i="1"/>
  <c r="F58" i="1"/>
  <c r="F62" i="1"/>
  <c r="F64" i="1"/>
  <c r="F65" i="1"/>
  <c r="F70" i="1"/>
  <c r="F71" i="1"/>
  <c r="F73" i="1"/>
  <c r="F74" i="1"/>
  <c r="F75" i="1"/>
  <c r="F76" i="1"/>
  <c r="F78" i="1"/>
  <c r="F80" i="1"/>
  <c r="F81" i="1"/>
  <c r="F83" i="1"/>
  <c r="F86" i="1"/>
  <c r="F87" i="1"/>
  <c r="F92" i="1"/>
  <c r="F93" i="1"/>
  <c r="F94" i="1"/>
  <c r="F95" i="1"/>
  <c r="F97" i="1"/>
  <c r="F98" i="1"/>
  <c r="F99" i="1"/>
  <c r="F100" i="1"/>
  <c r="F102" i="1"/>
  <c r="F103" i="1"/>
  <c r="F104" i="1"/>
  <c r="F106" i="1"/>
  <c r="F107" i="1"/>
  <c r="F108" i="1"/>
  <c r="F109" i="1"/>
  <c r="F110" i="1"/>
  <c r="F111" i="1"/>
  <c r="F112" i="1"/>
  <c r="F113" i="1"/>
  <c r="F114" i="1"/>
  <c r="F115" i="1"/>
  <c r="F117" i="1"/>
  <c r="F119" i="1"/>
  <c r="F120" i="1"/>
  <c r="F121" i="1"/>
  <c r="F124" i="1"/>
  <c r="F125" i="1"/>
  <c r="F128" i="1"/>
  <c r="F129" i="1"/>
  <c r="F130" i="1"/>
  <c r="F132" i="1"/>
  <c r="F133" i="1"/>
  <c r="F134" i="1"/>
  <c r="F137" i="1"/>
  <c r="F138" i="1"/>
  <c r="F140" i="1"/>
  <c r="F141" i="1"/>
  <c r="F143" i="1"/>
  <c r="F144" i="1"/>
  <c r="F146" i="1"/>
  <c r="F147" i="1"/>
  <c r="F150" i="1"/>
  <c r="F152" i="1"/>
  <c r="F153" i="1"/>
  <c r="F154" i="1"/>
  <c r="F155" i="1"/>
  <c r="F156" i="1"/>
  <c r="F158" i="1"/>
  <c r="F165" i="1"/>
  <c r="F169" i="1"/>
  <c r="F171" i="1"/>
  <c r="F174" i="1"/>
  <c r="F175" i="1"/>
  <c r="F179" i="1"/>
  <c r="F180" i="1"/>
  <c r="F181" i="1"/>
  <c r="F185" i="1"/>
  <c r="F186" i="1"/>
  <c r="F188" i="1"/>
  <c r="F189" i="1"/>
  <c r="F190" i="1"/>
  <c r="F195" i="1"/>
  <c r="F196" i="1"/>
  <c r="F197" i="1"/>
  <c r="F198" i="1"/>
  <c r="F201" i="1"/>
  <c r="F202" i="1"/>
  <c r="F203" i="1"/>
  <c r="F205" i="1"/>
  <c r="F207" i="1"/>
  <c r="F2" i="1"/>
  <c r="D6" i="1" l="1"/>
  <c r="D7" i="1"/>
  <c r="D11" i="1"/>
  <c r="D13" i="1"/>
  <c r="D16" i="1"/>
  <c r="D17" i="1"/>
  <c r="D19" i="1"/>
  <c r="D22" i="1"/>
  <c r="D27" i="1"/>
  <c r="D28" i="1"/>
  <c r="D36" i="1"/>
  <c r="D38" i="1"/>
  <c r="D44" i="1"/>
  <c r="D45" i="1"/>
  <c r="D54" i="1"/>
  <c r="D55" i="1"/>
  <c r="D57" i="1"/>
  <c r="D58" i="1"/>
  <c r="D59" i="1"/>
  <c r="D60" i="1"/>
  <c r="D61" i="1"/>
  <c r="D62" i="1"/>
  <c r="D63" i="1"/>
  <c r="D64" i="1"/>
  <c r="D68" i="1"/>
  <c r="D69" i="1"/>
  <c r="D74" i="1"/>
  <c r="D75" i="1"/>
  <c r="D77" i="1"/>
  <c r="D78" i="1"/>
  <c r="D80" i="1"/>
  <c r="D81" i="1"/>
  <c r="D82" i="1"/>
  <c r="D85" i="1"/>
  <c r="D86" i="1"/>
  <c r="D87" i="1"/>
  <c r="D89" i="1"/>
  <c r="D92" i="1"/>
  <c r="D95" i="1"/>
  <c r="D96" i="1"/>
  <c r="D97" i="1"/>
  <c r="D99" i="1"/>
  <c r="D105" i="1"/>
  <c r="D107" i="1"/>
  <c r="D109" i="1"/>
  <c r="D116" i="1"/>
  <c r="D118" i="1"/>
  <c r="D120" i="1"/>
  <c r="D122" i="1"/>
  <c r="D123" i="1"/>
  <c r="D124" i="1"/>
  <c r="D125" i="1"/>
  <c r="D126" i="1"/>
  <c r="D128" i="1"/>
  <c r="D129" i="1"/>
  <c r="D131" i="1"/>
  <c r="D134" i="1"/>
  <c r="D138" i="1"/>
  <c r="D142" i="1"/>
  <c r="D144" i="1"/>
  <c r="D148" i="1"/>
  <c r="D152" i="1"/>
  <c r="D157" i="1"/>
  <c r="D158" i="1"/>
  <c r="D159" i="1"/>
  <c r="D162" i="1"/>
  <c r="D164" i="1"/>
  <c r="D165" i="1"/>
  <c r="D166" i="1"/>
  <c r="D167" i="1"/>
  <c r="D175" i="1"/>
  <c r="D177" i="1"/>
  <c r="D178" i="1"/>
  <c r="D179" i="1"/>
  <c r="D182" i="1"/>
  <c r="D187" i="1"/>
  <c r="D188" i="1"/>
  <c r="D189" i="1"/>
  <c r="D191" i="1"/>
  <c r="D195" i="1"/>
  <c r="D196" i="1"/>
  <c r="D199" i="1"/>
  <c r="D201" i="1"/>
  <c r="D203" i="1"/>
  <c r="D204" i="1"/>
  <c r="D3" i="1"/>
  <c r="H2" i="1" l="1"/>
  <c r="D208" i="1"/>
</calcChain>
</file>

<file path=xl/sharedStrings.xml><?xml version="1.0" encoding="utf-8"?>
<sst xmlns="http://schemas.openxmlformats.org/spreadsheetml/2006/main" count="216" uniqueCount="216">
  <si>
    <t>Town or City</t>
  </si>
  <si>
    <t>Washington</t>
  </si>
  <si>
    <t>Goshen</t>
  </si>
  <si>
    <t>Westminster</t>
  </si>
  <si>
    <t>West Windsor</t>
  </si>
  <si>
    <t>Landgrove</t>
  </si>
  <si>
    <t>Belvidere</t>
  </si>
  <si>
    <t>Guildhall</t>
  </si>
  <si>
    <t>Stockbridge</t>
  </si>
  <si>
    <t>Marshfield</t>
  </si>
  <si>
    <t>Huntington</t>
  </si>
  <si>
    <t>Wardsboro</t>
  </si>
  <si>
    <t>Mendon</t>
  </si>
  <si>
    <t>Brattleboro</t>
  </si>
  <si>
    <t>Bridport</t>
  </si>
  <si>
    <t>Pomfret</t>
  </si>
  <si>
    <t>Williston</t>
  </si>
  <si>
    <t>Grafton</t>
  </si>
  <si>
    <t>Johnson</t>
  </si>
  <si>
    <t>Groton</t>
  </si>
  <si>
    <t>Barnet</t>
  </si>
  <si>
    <t>Corinth</t>
  </si>
  <si>
    <t>Tinmouth</t>
  </si>
  <si>
    <t>Bolton</t>
  </si>
  <si>
    <t>Walden</t>
  </si>
  <si>
    <t>Fairlee</t>
  </si>
  <si>
    <t>Waterford</t>
  </si>
  <si>
    <t>Derby</t>
  </si>
  <si>
    <t>Fairfield</t>
  </si>
  <si>
    <t>South Hero</t>
  </si>
  <si>
    <t>New Haven</t>
  </si>
  <si>
    <t>Fair Haven</t>
  </si>
  <si>
    <t>East Montpelier</t>
  </si>
  <si>
    <t>Middlesex</t>
  </si>
  <si>
    <t>Randolph</t>
  </si>
  <si>
    <t>Newport City</t>
  </si>
  <si>
    <t>Danville</t>
  </si>
  <si>
    <t>Brownington</t>
  </si>
  <si>
    <t>Georgia</t>
  </si>
  <si>
    <t>Orwell</t>
  </si>
  <si>
    <t>Windham</t>
  </si>
  <si>
    <t>Braintree</t>
  </si>
  <si>
    <t>Thetford</t>
  </si>
  <si>
    <t>Concord</t>
  </si>
  <si>
    <t>Holland</t>
  </si>
  <si>
    <t>Norton</t>
  </si>
  <si>
    <t>Waterville</t>
  </si>
  <si>
    <t>Bakersfield</t>
  </si>
  <si>
    <t>Charleston</t>
  </si>
  <si>
    <t>Mount Holly</t>
  </si>
  <si>
    <t>Monkton</t>
  </si>
  <si>
    <t>North Hero</t>
  </si>
  <si>
    <t>Montgomery</t>
  </si>
  <si>
    <t>Readsboro</t>
  </si>
  <si>
    <t>Lunenburg</t>
  </si>
  <si>
    <t>Winhall</t>
  </si>
  <si>
    <t>Coventry</t>
  </si>
  <si>
    <t>Wallingford</t>
  </si>
  <si>
    <t>Peacham</t>
  </si>
  <si>
    <t>Ryegate</t>
  </si>
  <si>
    <t>Jay</t>
  </si>
  <si>
    <t>Rochester</t>
  </si>
  <si>
    <t>Ira</t>
  </si>
  <si>
    <t>Jericho</t>
  </si>
  <si>
    <t>Marlboro</t>
  </si>
  <si>
    <t>Glover</t>
  </si>
  <si>
    <t>St. Albans City</t>
  </si>
  <si>
    <t>Richford</t>
  </si>
  <si>
    <t>Proctor</t>
  </si>
  <si>
    <t>Underhill</t>
  </si>
  <si>
    <t>Highgate</t>
  </si>
  <si>
    <t>Isle La Motte</t>
  </si>
  <si>
    <t>Lyndon</t>
  </si>
  <si>
    <t>Pittsfield</t>
  </si>
  <si>
    <t>Townshend</t>
  </si>
  <si>
    <t>Richmond</t>
  </si>
  <si>
    <t>Williamstown</t>
  </si>
  <si>
    <t>West Fairlee</t>
  </si>
  <si>
    <t>Milton</t>
  </si>
  <si>
    <t>Rockingham</t>
  </si>
  <si>
    <t>Plymouth</t>
  </si>
  <si>
    <t>Springfield</t>
  </si>
  <si>
    <t>Warren</t>
  </si>
  <si>
    <t>Starksboro</t>
  </si>
  <si>
    <t>Manchester</t>
  </si>
  <si>
    <t>Norwich</t>
  </si>
  <si>
    <t>Clarendon</t>
  </si>
  <si>
    <t>Stratton</t>
  </si>
  <si>
    <t>Chelsea</t>
  </si>
  <si>
    <t>Westfield</t>
  </si>
  <si>
    <t>Irasburg</t>
  </si>
  <si>
    <t>Pawlet</t>
  </si>
  <si>
    <t>Bridgewater</t>
  </si>
  <si>
    <t>Hinesburg</t>
  </si>
  <si>
    <t>Fayston</t>
  </si>
  <si>
    <t>Northfield</t>
  </si>
  <si>
    <t>Cabot</t>
  </si>
  <si>
    <t>Hartland</t>
  </si>
  <si>
    <t>Canaan</t>
  </si>
  <si>
    <t>Westford</t>
  </si>
  <si>
    <t>For floor meeting towns: what was the highest vote count? (your best estimate)</t>
  </si>
  <si>
    <t>For Australian ballot towns: how many people voted (include absentee ballot)?</t>
  </si>
  <si>
    <t>For Australian ballot towns: how many voted by absentee ballot?</t>
  </si>
  <si>
    <t>Franklin</t>
  </si>
  <si>
    <t>Orange</t>
  </si>
  <si>
    <t>Mount Tabor</t>
  </si>
  <si>
    <t>Reading</t>
  </si>
  <si>
    <t>Waterbury</t>
  </si>
  <si>
    <t>Berkshire</t>
  </si>
  <si>
    <t>Arlington</t>
  </si>
  <si>
    <t>Brandon</t>
  </si>
  <si>
    <t>Winooski</t>
  </si>
  <si>
    <t>Bethel</t>
  </si>
  <si>
    <t>Dorset</t>
  </si>
  <si>
    <t>Fairfax</t>
  </si>
  <si>
    <t>Moretown</t>
  </si>
  <si>
    <t>Plainfield</t>
  </si>
  <si>
    <t>Shaftsbury</t>
  </si>
  <si>
    <t>Sharon</t>
  </si>
  <si>
    <t>Shrewsbury</t>
  </si>
  <si>
    <t>St. Johnsbury</t>
  </si>
  <si>
    <t>Stannard</t>
  </si>
  <si>
    <t>Topsham</t>
  </si>
  <si>
    <t>Wilmington</t>
  </si>
  <si>
    <t>Roxbury</t>
  </si>
  <si>
    <t>Rupert</t>
  </si>
  <si>
    <t>Maidstone</t>
  </si>
  <si>
    <t>Addison</t>
  </si>
  <si>
    <t>Barnard</t>
  </si>
  <si>
    <t>Benson</t>
  </si>
  <si>
    <t>Brighton</t>
  </si>
  <si>
    <t>Brookfield</t>
  </si>
  <si>
    <t>Brookline</t>
  </si>
  <si>
    <t>Burke</t>
  </si>
  <si>
    <t>Guilford</t>
  </si>
  <si>
    <t>Ludlow</t>
  </si>
  <si>
    <t>Rutland Town</t>
  </si>
  <si>
    <t>Sheffield</t>
  </si>
  <si>
    <t>St Albans Town</t>
  </si>
  <si>
    <t>West Rutland</t>
  </si>
  <si>
    <t>Albany</t>
  </si>
  <si>
    <t>Charlotte</t>
  </si>
  <si>
    <t>Enosburgh</t>
  </si>
  <si>
    <t>Wolcott</t>
  </si>
  <si>
    <t>Burlington - Wards 1-8</t>
  </si>
  <si>
    <t>Newbury</t>
  </si>
  <si>
    <t>Vernon</t>
  </si>
  <si>
    <t>Lincoln</t>
  </si>
  <si>
    <t>Baltimore</t>
  </si>
  <si>
    <t>Colchester</t>
  </si>
  <si>
    <t>Cornwall</t>
  </si>
  <si>
    <t>Danby</t>
  </si>
  <si>
    <t>Chittenden</t>
  </si>
  <si>
    <t>Hartford</t>
  </si>
  <si>
    <t>Morristown</t>
  </si>
  <si>
    <t>Salisbury</t>
  </si>
  <si>
    <t>Sandgate</t>
  </si>
  <si>
    <t>Putney</t>
  </si>
  <si>
    <t>Westmore</t>
  </si>
  <si>
    <t>Panton</t>
  </si>
  <si>
    <t>Hyde Park</t>
  </si>
  <si>
    <t>Greensboro</t>
  </si>
  <si>
    <t>Newfane</t>
  </si>
  <si>
    <t>Woodford</t>
  </si>
  <si>
    <t>Hubbardton</t>
  </si>
  <si>
    <t>Whitingham</t>
  </si>
  <si>
    <t>Woodbury</t>
  </si>
  <si>
    <t>Worcester</t>
  </si>
  <si>
    <t>Strafford</t>
  </si>
  <si>
    <t>Essex</t>
  </si>
  <si>
    <t>Floor vote Turnout (%)</t>
  </si>
  <si>
    <t>Australian ballot Turnout (%)</t>
  </si>
  <si>
    <t xml:space="preserve">Absentee Ballot Turnout (%) </t>
  </si>
  <si>
    <t>FLOOR VOTE TOTAL</t>
  </si>
  <si>
    <t>AUSTRALIAN BALLOT TOTAL</t>
  </si>
  <si>
    <t>How many voters were on your TM checklist 3/7/17?</t>
  </si>
  <si>
    <t>Athens</t>
  </si>
  <si>
    <t>Barton</t>
  </si>
  <si>
    <t>Bennington</t>
  </si>
  <si>
    <t>Berlin</t>
  </si>
  <si>
    <t>Bradford</t>
  </si>
  <si>
    <t>Bristol</t>
  </si>
  <si>
    <t>Brunswick</t>
  </si>
  <si>
    <t>Cambridge</t>
  </si>
  <si>
    <t>Castleton</t>
  </si>
  <si>
    <t>Dover</t>
  </si>
  <si>
    <t>Dummerston</t>
  </si>
  <si>
    <t>Duxbury</t>
  </si>
  <si>
    <t>Granby</t>
  </si>
  <si>
    <t>Granville</t>
  </si>
  <si>
    <t>Halifax</t>
  </si>
  <si>
    <t>Jamaica</t>
  </si>
  <si>
    <t>Killington</t>
  </si>
  <si>
    <t>Leicester</t>
  </si>
  <si>
    <t>Lemington</t>
  </si>
  <si>
    <t>Middlebury</t>
  </si>
  <si>
    <t>Poultney</t>
  </si>
  <si>
    <t>Ripton</t>
  </si>
  <si>
    <t>Royalton</t>
  </si>
  <si>
    <t>Searsburg</t>
  </si>
  <si>
    <t>Sheldon</t>
  </si>
  <si>
    <t>South Burlington</t>
  </si>
  <si>
    <t>Stowe</t>
  </si>
  <si>
    <t>Sudbury</t>
  </si>
  <si>
    <t>Troy</t>
  </si>
  <si>
    <t>Vergennes</t>
  </si>
  <si>
    <t>Vershire</t>
  </si>
  <si>
    <t>Victory</t>
  </si>
  <si>
    <t>Waltham</t>
  </si>
  <si>
    <t>Weathersfield</t>
  </si>
  <si>
    <t>Wells</t>
  </si>
  <si>
    <t>Weston</t>
  </si>
  <si>
    <t>Wheelock</t>
  </si>
  <si>
    <t xml:space="preserve">Whiting </t>
  </si>
  <si>
    <t>Windsor</t>
  </si>
  <si>
    <t>Woodstock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</si>
</sst>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sz val="14"/>
      <color indexed="8"/>
      <name val="Calibri"/>
      <family val="2"/>
    </font>
    <font>
      <b/>
      <sz val="14"/>
      <color indexed="8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0" fontId="4" fillId="3" borderId="2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0" fontId="4" fillId="4" borderId="3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0"/>
  <sheetViews>
    <sheetView tabSelected="1" zoomScaleNormal="100" workbookViewId="0">
      <pane xSplit="1" ySplit="1" topLeftCell="C2" activePane="bottomRight" state="frozen"/>
      <selection pane="topRight" activeCell="B1" sqref="B1"/>
      <selection pane="bottomLeft" activeCell="A2" sqref="A2"/>
      <selection pane="bottomRight"/>
    </sheetView>
  </sheetViews>
  <sheetFormatPr defaultColWidth="9.109375" defaultRowHeight="15.6" x14ac:dyDescent="0.3"/>
  <cols>
    <col min="1" max="1" width="38.109375" style="1" customWidth="1"/>
    <col min="2" max="2" width="26.5546875" style="1" customWidth="1"/>
    <col min="3" max="4" width="27.33203125" style="1" customWidth="1"/>
    <col min="5" max="6" width="26.88671875" style="1" customWidth="1"/>
    <col min="7" max="7" width="28.6640625" style="1" customWidth="1"/>
    <col min="8" max="8" width="27.109375" style="1" customWidth="1"/>
    <col min="9" max="16384" width="9.109375" style="2"/>
  </cols>
  <sheetData>
    <row r="1" spans="1:8" s="3" customFormat="1" ht="69.599999999999994" x14ac:dyDescent="0.35">
      <c r="A1" s="4" t="s">
        <v>0</v>
      </c>
      <c r="B1" s="4" t="s">
        <v>175</v>
      </c>
      <c r="C1" s="4" t="s">
        <v>100</v>
      </c>
      <c r="D1" s="4" t="s">
        <v>170</v>
      </c>
      <c r="E1" s="4" t="s">
        <v>101</v>
      </c>
      <c r="F1" s="4" t="s">
        <v>171</v>
      </c>
      <c r="G1" s="4" t="s">
        <v>102</v>
      </c>
      <c r="H1" s="4" t="s">
        <v>172</v>
      </c>
    </row>
    <row r="2" spans="1:8" s="5" customFormat="1" ht="24.9" customHeight="1" x14ac:dyDescent="0.3">
      <c r="A2" s="15" t="s">
        <v>127</v>
      </c>
      <c r="B2" s="13">
        <v>1026</v>
      </c>
      <c r="C2" s="6"/>
      <c r="D2" s="6"/>
      <c r="E2" s="6">
        <v>252</v>
      </c>
      <c r="F2" s="7">
        <f>SUM(E2/B2)</f>
        <v>0.24561403508771928</v>
      </c>
      <c r="G2" s="6">
        <v>8</v>
      </c>
      <c r="H2" s="7">
        <f>SUM(G2/E2)</f>
        <v>3.1746031746031744E-2</v>
      </c>
    </row>
    <row r="3" spans="1:8" s="5" customFormat="1" ht="24.9" customHeight="1" x14ac:dyDescent="0.3">
      <c r="A3" s="15" t="s">
        <v>140</v>
      </c>
      <c r="B3" s="13">
        <v>644</v>
      </c>
      <c r="C3" s="6">
        <v>92</v>
      </c>
      <c r="D3" s="7">
        <f>SUM(C3/B3)</f>
        <v>0.14285714285714285</v>
      </c>
      <c r="E3" s="6"/>
      <c r="F3" s="7"/>
      <c r="G3" s="6"/>
      <c r="H3" s="7"/>
    </row>
    <row r="4" spans="1:8" s="5" customFormat="1" ht="24.9" customHeight="1" x14ac:dyDescent="0.3">
      <c r="A4" s="15" t="s">
        <v>109</v>
      </c>
      <c r="B4" s="13">
        <v>1702</v>
      </c>
      <c r="C4" s="6"/>
      <c r="D4" s="7"/>
      <c r="E4" s="6">
        <v>404</v>
      </c>
      <c r="F4" s="7">
        <f>SUM(E4/B4)</f>
        <v>0.23736780258519388</v>
      </c>
      <c r="G4" s="6">
        <v>31</v>
      </c>
      <c r="H4" s="7">
        <f>SUM(G4/E4)</f>
        <v>7.6732673267326731E-2</v>
      </c>
    </row>
    <row r="5" spans="1:8" s="5" customFormat="1" ht="24.9" customHeight="1" x14ac:dyDescent="0.3">
      <c r="A5" s="15" t="s">
        <v>176</v>
      </c>
      <c r="B5" s="13">
        <v>223</v>
      </c>
      <c r="C5" s="6">
        <v>79</v>
      </c>
      <c r="D5" s="7">
        <f t="shared" ref="D5:D13" si="0">SUM(C5/B5)</f>
        <v>0.35426008968609868</v>
      </c>
      <c r="E5" s="6"/>
      <c r="F5" s="7"/>
      <c r="G5" s="6"/>
      <c r="H5" s="7"/>
    </row>
    <row r="6" spans="1:8" s="5" customFormat="1" ht="24.9" customHeight="1" x14ac:dyDescent="0.3">
      <c r="A6" s="15" t="s">
        <v>47</v>
      </c>
      <c r="B6" s="13">
        <v>908</v>
      </c>
      <c r="C6" s="6">
        <v>65</v>
      </c>
      <c r="D6" s="7">
        <f t="shared" si="0"/>
        <v>7.1585903083700442E-2</v>
      </c>
      <c r="E6" s="6">
        <v>165</v>
      </c>
      <c r="F6" s="7">
        <f>SUM(E6/B6)</f>
        <v>0.18171806167400881</v>
      </c>
      <c r="G6" s="6">
        <v>10</v>
      </c>
      <c r="H6" s="7">
        <f>SUM(G6/E6)</f>
        <v>6.0606060606060608E-2</v>
      </c>
    </row>
    <row r="7" spans="1:8" s="5" customFormat="1" ht="24.9" customHeight="1" x14ac:dyDescent="0.3">
      <c r="A7" s="15" t="s">
        <v>148</v>
      </c>
      <c r="B7" s="13">
        <v>179</v>
      </c>
      <c r="C7" s="6">
        <v>24</v>
      </c>
      <c r="D7" s="7">
        <f t="shared" si="0"/>
        <v>0.13407821229050279</v>
      </c>
      <c r="E7" s="6"/>
      <c r="F7" s="7"/>
      <c r="G7" s="6"/>
      <c r="H7" s="7"/>
    </row>
    <row r="8" spans="1:8" s="5" customFormat="1" ht="24.9" customHeight="1" x14ac:dyDescent="0.3">
      <c r="A8" s="15" t="s">
        <v>128</v>
      </c>
      <c r="B8" s="13">
        <v>692</v>
      </c>
      <c r="C8" s="6">
        <v>88</v>
      </c>
      <c r="D8" s="7">
        <f t="shared" si="0"/>
        <v>0.12716763005780346</v>
      </c>
      <c r="E8" s="6"/>
      <c r="F8" s="7"/>
      <c r="G8" s="6"/>
      <c r="H8" s="7"/>
    </row>
    <row r="9" spans="1:8" s="5" customFormat="1" ht="24.9" customHeight="1" x14ac:dyDescent="0.3">
      <c r="A9" s="15" t="s">
        <v>20</v>
      </c>
      <c r="B9" s="13">
        <v>1385</v>
      </c>
      <c r="C9" s="6">
        <v>250</v>
      </c>
      <c r="D9" s="7">
        <f t="shared" si="0"/>
        <v>0.18050541516245489</v>
      </c>
      <c r="E9" s="6"/>
      <c r="F9" s="7"/>
      <c r="G9" s="6"/>
      <c r="H9" s="7"/>
    </row>
    <row r="10" spans="1:8" s="5" customFormat="1" ht="24.9" customHeight="1" x14ac:dyDescent="0.3">
      <c r="A10" s="15" t="s">
        <v>177</v>
      </c>
      <c r="B10" s="13">
        <v>1785</v>
      </c>
      <c r="C10" s="6"/>
      <c r="D10" s="7"/>
      <c r="E10" s="6">
        <v>84</v>
      </c>
      <c r="F10" s="7">
        <f t="shared" ref="F10:F12" si="1">SUM(E10/B10)</f>
        <v>4.7058823529411764E-2</v>
      </c>
      <c r="G10" s="6">
        <v>6</v>
      </c>
      <c r="H10" s="7">
        <f t="shared" ref="H10:H15" si="2">SUM(G10/E10)</f>
        <v>7.1428571428571425E-2</v>
      </c>
    </row>
    <row r="11" spans="1:8" s="5" customFormat="1" ht="24.9" customHeight="1" x14ac:dyDescent="0.3">
      <c r="A11" s="15" t="s">
        <v>6</v>
      </c>
      <c r="B11" s="13">
        <v>241</v>
      </c>
      <c r="C11" s="6">
        <v>67</v>
      </c>
      <c r="D11" s="7">
        <f t="shared" si="0"/>
        <v>0.27800829875518673</v>
      </c>
      <c r="E11" s="6">
        <v>40</v>
      </c>
      <c r="F11" s="7">
        <f t="shared" si="1"/>
        <v>0.16597510373443983</v>
      </c>
      <c r="G11" s="6"/>
      <c r="H11" s="7"/>
    </row>
    <row r="12" spans="1:8" s="5" customFormat="1" ht="24.9" customHeight="1" x14ac:dyDescent="0.3">
      <c r="A12" s="15" t="s">
        <v>178</v>
      </c>
      <c r="B12" s="13">
        <v>8725</v>
      </c>
      <c r="C12" s="6"/>
      <c r="D12" s="7"/>
      <c r="E12" s="6">
        <v>2206</v>
      </c>
      <c r="F12" s="7">
        <f t="shared" si="1"/>
        <v>0.25283667621776507</v>
      </c>
      <c r="G12" s="6">
        <v>284</v>
      </c>
      <c r="H12" s="7">
        <f t="shared" si="2"/>
        <v>0.12873980054397099</v>
      </c>
    </row>
    <row r="13" spans="1:8" s="5" customFormat="1" ht="24.9" customHeight="1" x14ac:dyDescent="0.3">
      <c r="A13" s="15" t="s">
        <v>129</v>
      </c>
      <c r="B13" s="13">
        <v>751</v>
      </c>
      <c r="C13" s="6">
        <v>50</v>
      </c>
      <c r="D13" s="7">
        <f t="shared" si="0"/>
        <v>6.6577896138482029E-2</v>
      </c>
      <c r="E13" s="6">
        <v>189</v>
      </c>
      <c r="F13" s="7">
        <f>SUM(E13/B13)</f>
        <v>0.25166444740346205</v>
      </c>
      <c r="G13" s="6">
        <v>27</v>
      </c>
      <c r="H13" s="7">
        <f t="shared" si="2"/>
        <v>0.14285714285714285</v>
      </c>
    </row>
    <row r="14" spans="1:8" s="5" customFormat="1" ht="24.9" customHeight="1" x14ac:dyDescent="0.3">
      <c r="A14" s="15" t="s">
        <v>108</v>
      </c>
      <c r="B14" s="13">
        <v>985</v>
      </c>
      <c r="C14" s="6"/>
      <c r="D14" s="7"/>
      <c r="E14" s="6">
        <v>190</v>
      </c>
      <c r="F14" s="7">
        <f>SUM(E14/B14)</f>
        <v>0.19289340101522842</v>
      </c>
      <c r="G14" s="6">
        <v>33</v>
      </c>
      <c r="H14" s="7">
        <f t="shared" si="2"/>
        <v>0.1736842105263158</v>
      </c>
    </row>
    <row r="15" spans="1:8" s="5" customFormat="1" ht="24.9" customHeight="1" x14ac:dyDescent="0.3">
      <c r="A15" s="15" t="s">
        <v>179</v>
      </c>
      <c r="B15" s="13">
        <v>1940</v>
      </c>
      <c r="C15" s="6"/>
      <c r="D15" s="7"/>
      <c r="E15" s="6">
        <v>397</v>
      </c>
      <c r="F15" s="7">
        <f>SUM(E15/B15)</f>
        <v>0.20463917525773195</v>
      </c>
      <c r="G15" s="6">
        <v>54</v>
      </c>
      <c r="H15" s="7">
        <f t="shared" si="2"/>
        <v>0.13602015113350127</v>
      </c>
    </row>
    <row r="16" spans="1:8" s="5" customFormat="1" ht="24.9" customHeight="1" x14ac:dyDescent="0.3">
      <c r="A16" s="15" t="s">
        <v>112</v>
      </c>
      <c r="B16" s="13">
        <v>1391</v>
      </c>
      <c r="C16" s="6">
        <v>186</v>
      </c>
      <c r="D16" s="7">
        <f>SUM(C16/B16)</f>
        <v>0.13371675053918045</v>
      </c>
      <c r="E16" s="6"/>
      <c r="F16" s="7"/>
      <c r="G16" s="6"/>
      <c r="H16" s="7"/>
    </row>
    <row r="17" spans="1:8" s="5" customFormat="1" ht="24.9" customHeight="1" x14ac:dyDescent="0.3">
      <c r="A17" s="15" t="s">
        <v>23</v>
      </c>
      <c r="B17" s="13">
        <v>1000</v>
      </c>
      <c r="C17" s="6">
        <v>110</v>
      </c>
      <c r="D17" s="7">
        <f>SUM(C17/B17)</f>
        <v>0.11</v>
      </c>
      <c r="E17" s="6">
        <v>203</v>
      </c>
      <c r="F17" s="7">
        <f>SUM(E17/B17)</f>
        <v>0.20300000000000001</v>
      </c>
      <c r="G17" s="6">
        <v>8</v>
      </c>
      <c r="H17" s="7">
        <f>SUM(G17/E17)</f>
        <v>3.9408866995073892E-2</v>
      </c>
    </row>
    <row r="18" spans="1:8" s="5" customFormat="1" ht="24.9" customHeight="1" x14ac:dyDescent="0.3">
      <c r="A18" s="15" t="s">
        <v>180</v>
      </c>
      <c r="B18" s="13">
        <v>1595</v>
      </c>
      <c r="C18" s="6">
        <v>109</v>
      </c>
      <c r="D18" s="7">
        <f>SUM(C18/B18)</f>
        <v>6.8338557993730412E-2</v>
      </c>
      <c r="E18" s="6"/>
      <c r="F18" s="7"/>
      <c r="G18" s="6"/>
      <c r="H18" s="7"/>
    </row>
    <row r="19" spans="1:8" s="5" customFormat="1" ht="24.9" customHeight="1" x14ac:dyDescent="0.3">
      <c r="A19" s="15" t="s">
        <v>41</v>
      </c>
      <c r="B19" s="13">
        <v>892</v>
      </c>
      <c r="C19" s="6">
        <v>70</v>
      </c>
      <c r="D19" s="7">
        <f>SUM(C19/B19)</f>
        <v>7.847533632286996E-2</v>
      </c>
      <c r="E19" s="6"/>
      <c r="F19" s="7"/>
      <c r="G19" s="6"/>
      <c r="H19" s="7"/>
    </row>
    <row r="20" spans="1:8" s="5" customFormat="1" ht="24.9" customHeight="1" x14ac:dyDescent="0.3">
      <c r="A20" s="15" t="s">
        <v>110</v>
      </c>
      <c r="B20" s="13">
        <v>2897</v>
      </c>
      <c r="C20" s="6"/>
      <c r="D20" s="7"/>
      <c r="E20" s="6">
        <v>651</v>
      </c>
      <c r="F20" s="7">
        <f>SUM(E20/B20)</f>
        <v>0.22471522264411462</v>
      </c>
      <c r="G20" s="6">
        <v>96</v>
      </c>
      <c r="H20" s="7">
        <f>SUM(G20/E20)</f>
        <v>0.14746543778801843</v>
      </c>
    </row>
    <row r="21" spans="1:8" s="5" customFormat="1" ht="24.9" customHeight="1" x14ac:dyDescent="0.3">
      <c r="A21" s="15" t="s">
        <v>13</v>
      </c>
      <c r="B21" s="13">
        <v>8763</v>
      </c>
      <c r="C21" s="6"/>
      <c r="D21" s="7"/>
      <c r="E21" s="6">
        <v>1463</v>
      </c>
      <c r="F21" s="7">
        <f>SUM(E21/B21)</f>
        <v>0.16695195709231997</v>
      </c>
      <c r="G21" s="6">
        <v>419</v>
      </c>
      <c r="H21" s="7">
        <f>SUM(G21/E21)</f>
        <v>0.28639781271360221</v>
      </c>
    </row>
    <row r="22" spans="1:8" s="5" customFormat="1" ht="24.9" customHeight="1" x14ac:dyDescent="0.3">
      <c r="A22" s="15" t="s">
        <v>92</v>
      </c>
      <c r="B22" s="13">
        <v>672</v>
      </c>
      <c r="C22" s="6">
        <v>118</v>
      </c>
      <c r="D22" s="7">
        <f>SUM(C22/B22)</f>
        <v>0.17559523809523808</v>
      </c>
      <c r="E22" s="6"/>
      <c r="F22" s="7"/>
      <c r="G22" s="6"/>
      <c r="H22" s="7"/>
    </row>
    <row r="23" spans="1:8" s="5" customFormat="1" ht="24.9" customHeight="1" x14ac:dyDescent="0.3">
      <c r="A23" s="15" t="s">
        <v>14</v>
      </c>
      <c r="B23" s="13">
        <v>839</v>
      </c>
      <c r="C23" s="6"/>
      <c r="D23" s="7"/>
      <c r="E23" s="6">
        <v>248</v>
      </c>
      <c r="F23" s="7">
        <f>SUM(E23/B23)</f>
        <v>0.29558998808104886</v>
      </c>
      <c r="G23" s="6">
        <v>17</v>
      </c>
      <c r="H23" s="7">
        <f>SUM(G23/E23)</f>
        <v>6.8548387096774188E-2</v>
      </c>
    </row>
    <row r="24" spans="1:8" s="5" customFormat="1" ht="24.9" customHeight="1" x14ac:dyDescent="0.3">
      <c r="A24" s="15" t="s">
        <v>130</v>
      </c>
      <c r="B24" s="13">
        <v>933</v>
      </c>
      <c r="C24" s="6"/>
      <c r="D24" s="7"/>
      <c r="E24" s="6">
        <v>119</v>
      </c>
      <c r="F24" s="7">
        <f>SUM(E24/B24)</f>
        <v>0.12754555198285103</v>
      </c>
      <c r="G24" s="6">
        <v>5</v>
      </c>
      <c r="H24" s="7">
        <f>SUM(G24/E24)</f>
        <v>4.2016806722689079E-2</v>
      </c>
    </row>
    <row r="25" spans="1:8" s="5" customFormat="1" ht="24.9" customHeight="1" x14ac:dyDescent="0.3">
      <c r="A25" s="15" t="s">
        <v>181</v>
      </c>
      <c r="B25" s="13">
        <v>2830</v>
      </c>
      <c r="C25" s="6"/>
      <c r="D25" s="7"/>
      <c r="E25" s="6">
        <v>661</v>
      </c>
      <c r="F25" s="7">
        <f>SUM(E25/B25)</f>
        <v>0.23356890459363958</v>
      </c>
      <c r="G25" s="6">
        <v>59</v>
      </c>
      <c r="H25" s="7">
        <f>SUM(G25/E25)</f>
        <v>8.9258698940998485E-2</v>
      </c>
    </row>
    <row r="26" spans="1:8" s="5" customFormat="1" ht="24.9" customHeight="1" x14ac:dyDescent="0.3">
      <c r="A26" s="15" t="s">
        <v>131</v>
      </c>
      <c r="B26" s="13">
        <v>997</v>
      </c>
      <c r="C26" s="6"/>
      <c r="D26" s="7"/>
      <c r="E26" s="6">
        <v>168</v>
      </c>
      <c r="F26" s="7">
        <f>SUM(E26/B26)</f>
        <v>0.16850551654964896</v>
      </c>
      <c r="G26" s="6">
        <v>4</v>
      </c>
      <c r="H26" s="7">
        <f>SUM(G26/E26)</f>
        <v>2.3809523809523808E-2</v>
      </c>
    </row>
    <row r="27" spans="1:8" s="5" customFormat="1" ht="24.9" customHeight="1" x14ac:dyDescent="0.3">
      <c r="A27" s="15" t="s">
        <v>132</v>
      </c>
      <c r="B27" s="13">
        <v>397</v>
      </c>
      <c r="C27" s="6">
        <v>72</v>
      </c>
      <c r="D27" s="7">
        <f>SUM(C27/B27)</f>
        <v>0.181360201511335</v>
      </c>
      <c r="E27" s="6"/>
      <c r="F27" s="7"/>
      <c r="G27" s="6"/>
      <c r="H27" s="7"/>
    </row>
    <row r="28" spans="1:8" s="5" customFormat="1" ht="24.9" customHeight="1" x14ac:dyDescent="0.3">
      <c r="A28" s="15" t="s">
        <v>37</v>
      </c>
      <c r="B28" s="13">
        <v>673</v>
      </c>
      <c r="C28" s="6">
        <v>70</v>
      </c>
      <c r="D28" s="7">
        <f>SUM(C28/B28)</f>
        <v>0.10401188707280833</v>
      </c>
      <c r="E28" s="6">
        <v>29</v>
      </c>
      <c r="F28" s="7">
        <f t="shared" ref="F28" si="3">SUM(E28/B28)</f>
        <v>4.3090638930163447E-2</v>
      </c>
      <c r="G28" s="6"/>
      <c r="H28" s="7"/>
    </row>
    <row r="29" spans="1:8" s="5" customFormat="1" ht="24.9" customHeight="1" x14ac:dyDescent="0.3">
      <c r="A29" s="15" t="s">
        <v>182</v>
      </c>
      <c r="B29" s="13">
        <v>68</v>
      </c>
      <c r="C29" s="6">
        <v>15</v>
      </c>
      <c r="D29" s="7">
        <f>SUM(C29/B29)</f>
        <v>0.22058823529411764</v>
      </c>
      <c r="E29" s="6"/>
      <c r="F29" s="7"/>
      <c r="G29" s="6"/>
      <c r="H29" s="7"/>
    </row>
    <row r="30" spans="1:8" s="5" customFormat="1" ht="24.9" customHeight="1" x14ac:dyDescent="0.3">
      <c r="A30" s="15" t="s">
        <v>133</v>
      </c>
      <c r="B30" s="13">
        <v>1134</v>
      </c>
      <c r="C30" s="6"/>
      <c r="D30" s="7"/>
      <c r="E30" s="6">
        <v>292</v>
      </c>
      <c r="F30" s="7">
        <f t="shared" ref="F30:F37" si="4">SUM(E30/B30)</f>
        <v>0.25749559082892415</v>
      </c>
      <c r="G30" s="6">
        <v>14</v>
      </c>
      <c r="H30" s="7">
        <f t="shared" ref="H30:H37" si="5">SUM(G30/E30)</f>
        <v>4.7945205479452052E-2</v>
      </c>
    </row>
    <row r="31" spans="1:8" s="5" customFormat="1" ht="24.9" customHeight="1" x14ac:dyDescent="0.3">
      <c r="A31" s="15" t="s">
        <v>144</v>
      </c>
      <c r="B31" s="13">
        <v>35271</v>
      </c>
      <c r="C31" s="6"/>
      <c r="D31" s="7"/>
      <c r="E31" s="6">
        <v>6739</v>
      </c>
      <c r="F31" s="7">
        <f t="shared" si="4"/>
        <v>0.19106347991267614</v>
      </c>
      <c r="G31" s="6">
        <v>897</v>
      </c>
      <c r="H31" s="7">
        <f t="shared" si="5"/>
        <v>0.13310580204778158</v>
      </c>
    </row>
    <row r="32" spans="1:8" s="5" customFormat="1" ht="24.9" customHeight="1" x14ac:dyDescent="0.3">
      <c r="A32" s="15" t="s">
        <v>96</v>
      </c>
      <c r="B32" s="13">
        <v>1148</v>
      </c>
      <c r="C32" s="6"/>
      <c r="D32" s="7"/>
      <c r="E32" s="6">
        <v>390</v>
      </c>
      <c r="F32" s="7">
        <f t="shared" si="4"/>
        <v>0.33972125435540068</v>
      </c>
      <c r="G32" s="6">
        <v>7</v>
      </c>
      <c r="H32" s="7">
        <f t="shared" si="5"/>
        <v>1.7948717948717947E-2</v>
      </c>
    </row>
    <row r="33" spans="1:8" s="5" customFormat="1" ht="24.9" customHeight="1" x14ac:dyDescent="0.3">
      <c r="A33" s="15" t="s">
        <v>183</v>
      </c>
      <c r="B33" s="13">
        <v>293</v>
      </c>
      <c r="C33" s="6">
        <v>216</v>
      </c>
      <c r="D33" s="7">
        <f>SUM(C33/B33)</f>
        <v>0.73720136518771329</v>
      </c>
      <c r="E33" s="6">
        <v>526</v>
      </c>
      <c r="F33" s="7">
        <f t="shared" si="4"/>
        <v>1.795221843003413</v>
      </c>
      <c r="G33" s="6">
        <v>25</v>
      </c>
      <c r="H33" s="7">
        <f>SUM(G33/E33)</f>
        <v>4.7528517110266157E-2</v>
      </c>
    </row>
    <row r="34" spans="1:8" s="5" customFormat="1" ht="24.9" customHeight="1" x14ac:dyDescent="0.3">
      <c r="A34" s="15" t="s">
        <v>98</v>
      </c>
      <c r="B34" s="13">
        <v>628</v>
      </c>
      <c r="C34" s="6"/>
      <c r="D34" s="7"/>
      <c r="E34" s="6">
        <v>155</v>
      </c>
      <c r="F34" s="7">
        <f t="shared" si="4"/>
        <v>0.24681528662420382</v>
      </c>
      <c r="G34" s="6">
        <v>7</v>
      </c>
      <c r="H34" s="7">
        <f t="shared" si="5"/>
        <v>4.5161290322580643E-2</v>
      </c>
    </row>
    <row r="35" spans="1:8" s="5" customFormat="1" ht="24.9" customHeight="1" x14ac:dyDescent="0.3">
      <c r="A35" s="15" t="s">
        <v>184</v>
      </c>
      <c r="B35" s="13">
        <v>3011</v>
      </c>
      <c r="C35" s="6"/>
      <c r="D35" s="7"/>
      <c r="E35" s="6">
        <v>679</v>
      </c>
      <c r="F35" s="7">
        <f t="shared" si="4"/>
        <v>0.22550647625373629</v>
      </c>
      <c r="G35" s="6">
        <v>110</v>
      </c>
      <c r="H35" s="7">
        <f t="shared" si="5"/>
        <v>0.16200294550810015</v>
      </c>
    </row>
    <row r="36" spans="1:8" s="5" customFormat="1" ht="24.9" customHeight="1" x14ac:dyDescent="0.3">
      <c r="A36" s="15" t="s">
        <v>48</v>
      </c>
      <c r="B36" s="13">
        <v>682</v>
      </c>
      <c r="C36" s="6">
        <v>88</v>
      </c>
      <c r="D36" s="7">
        <f>SUM(C36/B36)</f>
        <v>0.12903225806451613</v>
      </c>
      <c r="E36" s="6">
        <v>62</v>
      </c>
      <c r="F36" s="7">
        <f t="shared" si="4"/>
        <v>9.0909090909090912E-2</v>
      </c>
      <c r="G36" s="6">
        <v>62</v>
      </c>
      <c r="H36" s="7">
        <f t="shared" si="5"/>
        <v>1</v>
      </c>
    </row>
    <row r="37" spans="1:8" s="5" customFormat="1" ht="24.9" customHeight="1" x14ac:dyDescent="0.3">
      <c r="A37" s="15" t="s">
        <v>141</v>
      </c>
      <c r="B37" s="13">
        <v>3326</v>
      </c>
      <c r="C37" s="6">
        <v>173</v>
      </c>
      <c r="D37" s="7">
        <f>SUM(C37/B37)</f>
        <v>5.2014431749849668E-2</v>
      </c>
      <c r="E37" s="6">
        <v>840</v>
      </c>
      <c r="F37" s="7">
        <f t="shared" si="4"/>
        <v>0.25255562236921225</v>
      </c>
      <c r="G37" s="6">
        <v>121</v>
      </c>
      <c r="H37" s="7">
        <f t="shared" si="5"/>
        <v>0.14404761904761904</v>
      </c>
    </row>
    <row r="38" spans="1:8" s="5" customFormat="1" ht="24.9" customHeight="1" x14ac:dyDescent="0.3">
      <c r="A38" s="15" t="s">
        <v>88</v>
      </c>
      <c r="B38" s="13">
        <v>132</v>
      </c>
      <c r="C38" s="6">
        <v>132</v>
      </c>
      <c r="D38" s="7">
        <f>SUM(C38/B38)</f>
        <v>1</v>
      </c>
      <c r="E38" s="6"/>
      <c r="F38" s="7"/>
      <c r="G38" s="6"/>
      <c r="H38" s="7"/>
    </row>
    <row r="39" spans="1:8" s="5" customFormat="1" ht="24.9" customHeight="1" x14ac:dyDescent="0.3">
      <c r="A39" s="15" t="s">
        <v>152</v>
      </c>
      <c r="B39" s="13">
        <v>1039</v>
      </c>
      <c r="C39" s="6"/>
      <c r="D39" s="7"/>
      <c r="E39" s="6">
        <v>319</v>
      </c>
      <c r="F39" s="7">
        <f t="shared" ref="F39:F47" si="6">SUM(E39/B39)</f>
        <v>0.30702598652550528</v>
      </c>
      <c r="G39" s="6">
        <v>23</v>
      </c>
      <c r="H39" s="7">
        <f t="shared" ref="H39:H53" si="7">SUM(G39/E39)</f>
        <v>7.2100313479623826E-2</v>
      </c>
    </row>
    <row r="40" spans="1:8" s="5" customFormat="1" ht="24.9" customHeight="1" x14ac:dyDescent="0.3">
      <c r="A40" s="15" t="s">
        <v>86</v>
      </c>
      <c r="B40" s="13">
        <v>1878</v>
      </c>
      <c r="C40" s="6"/>
      <c r="D40" s="7"/>
      <c r="E40" s="6">
        <v>516</v>
      </c>
      <c r="F40" s="7">
        <f t="shared" si="6"/>
        <v>0.27476038338658149</v>
      </c>
      <c r="G40" s="6">
        <v>29</v>
      </c>
      <c r="H40" s="7">
        <f t="shared" si="7"/>
        <v>5.6201550387596902E-2</v>
      </c>
    </row>
    <row r="41" spans="1:8" s="5" customFormat="1" ht="24.9" customHeight="1" x14ac:dyDescent="0.3">
      <c r="A41" s="15" t="s">
        <v>149</v>
      </c>
      <c r="B41" s="13">
        <v>11332</v>
      </c>
      <c r="C41" s="6"/>
      <c r="D41" s="7"/>
      <c r="E41" s="6">
        <v>2373</v>
      </c>
      <c r="F41" s="7">
        <f t="shared" si="6"/>
        <v>0.20940698905753619</v>
      </c>
      <c r="G41" s="6">
        <v>560</v>
      </c>
      <c r="H41" s="7">
        <f t="shared" si="7"/>
        <v>0.2359882005899705</v>
      </c>
    </row>
    <row r="42" spans="1:8" s="5" customFormat="1" ht="24.9" customHeight="1" x14ac:dyDescent="0.3">
      <c r="A42" s="15" t="s">
        <v>43</v>
      </c>
      <c r="B42" s="13">
        <v>860</v>
      </c>
      <c r="C42" s="6"/>
      <c r="D42" s="7"/>
      <c r="E42" s="6">
        <v>223</v>
      </c>
      <c r="F42" s="7">
        <f t="shared" si="6"/>
        <v>0.25930232558139538</v>
      </c>
      <c r="G42" s="6">
        <v>34</v>
      </c>
      <c r="H42" s="7">
        <f t="shared" si="7"/>
        <v>0.15246636771300448</v>
      </c>
    </row>
    <row r="43" spans="1:8" s="5" customFormat="1" ht="24.9" customHeight="1" x14ac:dyDescent="0.3">
      <c r="A43" s="15" t="s">
        <v>21</v>
      </c>
      <c r="B43" s="13">
        <v>944</v>
      </c>
      <c r="C43" s="6"/>
      <c r="D43" s="7"/>
      <c r="E43" s="6">
        <v>144</v>
      </c>
      <c r="F43" s="7">
        <f t="shared" si="6"/>
        <v>0.15254237288135594</v>
      </c>
      <c r="G43" s="6">
        <v>5</v>
      </c>
      <c r="H43" s="7">
        <f t="shared" si="7"/>
        <v>3.4722222222222224E-2</v>
      </c>
    </row>
    <row r="44" spans="1:8" s="5" customFormat="1" ht="24.9" customHeight="1" x14ac:dyDescent="0.3">
      <c r="A44" s="15" t="s">
        <v>150</v>
      </c>
      <c r="B44" s="13">
        <v>941</v>
      </c>
      <c r="C44" s="6">
        <v>130</v>
      </c>
      <c r="D44" s="7">
        <f>SUM(C44/B44)</f>
        <v>0.13815090329436769</v>
      </c>
      <c r="E44" s="6">
        <v>210</v>
      </c>
      <c r="F44" s="7">
        <f t="shared" si="6"/>
        <v>0.22316684378320936</v>
      </c>
      <c r="G44" s="6">
        <v>19</v>
      </c>
      <c r="H44" s="7">
        <f t="shared" si="7"/>
        <v>9.0476190476190474E-2</v>
      </c>
    </row>
    <row r="45" spans="1:8" s="5" customFormat="1" ht="24.9" customHeight="1" x14ac:dyDescent="0.3">
      <c r="A45" s="15" t="s">
        <v>56</v>
      </c>
      <c r="B45" s="13">
        <v>707</v>
      </c>
      <c r="C45" s="6">
        <v>145</v>
      </c>
      <c r="D45" s="7">
        <f>SUM(C45/B45)</f>
        <v>0.2050919377652051</v>
      </c>
      <c r="E45" s="6">
        <v>162</v>
      </c>
      <c r="F45" s="7">
        <f t="shared" si="6"/>
        <v>0.22913719943422914</v>
      </c>
      <c r="G45" s="6">
        <v>5</v>
      </c>
      <c r="H45" s="7">
        <f t="shared" si="7"/>
        <v>3.0864197530864196E-2</v>
      </c>
    </row>
    <row r="46" spans="1:8" s="5" customFormat="1" ht="24.9" customHeight="1" x14ac:dyDescent="0.3">
      <c r="A46" s="15" t="s">
        <v>151</v>
      </c>
      <c r="B46" s="13">
        <v>898</v>
      </c>
      <c r="C46" s="6"/>
      <c r="D46" s="7"/>
      <c r="E46" s="6">
        <v>408</v>
      </c>
      <c r="F46" s="7">
        <f t="shared" si="6"/>
        <v>0.45434298440979953</v>
      </c>
      <c r="G46" s="6">
        <v>145</v>
      </c>
      <c r="H46" s="7">
        <f t="shared" si="7"/>
        <v>0.35539215686274511</v>
      </c>
    </row>
    <row r="47" spans="1:8" s="5" customFormat="1" ht="24.9" customHeight="1" x14ac:dyDescent="0.3">
      <c r="A47" s="15" t="s">
        <v>36</v>
      </c>
      <c r="B47" s="13">
        <v>1726</v>
      </c>
      <c r="C47" s="6">
        <v>204</v>
      </c>
      <c r="D47" s="7">
        <f>SUM(C47/B47)</f>
        <v>0.11819235225955968</v>
      </c>
      <c r="E47" s="6">
        <v>290</v>
      </c>
      <c r="F47" s="7">
        <f t="shared" si="6"/>
        <v>0.16801853997682503</v>
      </c>
      <c r="G47" s="6">
        <v>10</v>
      </c>
      <c r="H47" s="7">
        <f t="shared" si="7"/>
        <v>3.4482758620689655E-2</v>
      </c>
    </row>
    <row r="48" spans="1:8" s="5" customFormat="1" ht="24.9" customHeight="1" x14ac:dyDescent="0.3">
      <c r="A48" s="15" t="s">
        <v>27</v>
      </c>
      <c r="B48" s="13">
        <v>3240</v>
      </c>
      <c r="C48" s="6"/>
      <c r="D48" s="7"/>
      <c r="E48" s="6">
        <v>481</v>
      </c>
      <c r="F48" s="7">
        <f t="shared" ref="F48:F53" si="8">SUM(E48/B48)</f>
        <v>0.14845679012345678</v>
      </c>
      <c r="G48" s="6">
        <v>62</v>
      </c>
      <c r="H48" s="7">
        <f t="shared" si="7"/>
        <v>0.12889812889812891</v>
      </c>
    </row>
    <row r="49" spans="1:8" s="5" customFormat="1" ht="24.9" customHeight="1" x14ac:dyDescent="0.3">
      <c r="A49" s="15" t="s">
        <v>113</v>
      </c>
      <c r="B49" s="13">
        <v>1626</v>
      </c>
      <c r="C49" s="6"/>
      <c r="D49" s="7"/>
      <c r="E49" s="6">
        <v>316</v>
      </c>
      <c r="F49" s="7">
        <f t="shared" si="8"/>
        <v>0.1943419434194342</v>
      </c>
      <c r="G49" s="6">
        <v>18</v>
      </c>
      <c r="H49" s="7">
        <f t="shared" si="7"/>
        <v>5.6962025316455694E-2</v>
      </c>
    </row>
    <row r="50" spans="1:8" s="5" customFormat="1" ht="24.9" customHeight="1" x14ac:dyDescent="0.3">
      <c r="A50" s="15" t="s">
        <v>185</v>
      </c>
      <c r="B50" s="13">
        <v>1200</v>
      </c>
      <c r="C50" s="6">
        <v>100</v>
      </c>
      <c r="D50" s="7">
        <f>SUM(C50/B50)</f>
        <v>8.3333333333333329E-2</v>
      </c>
      <c r="E50" s="6">
        <v>212</v>
      </c>
      <c r="F50" s="7">
        <f t="shared" si="8"/>
        <v>0.17666666666666667</v>
      </c>
      <c r="G50" s="6"/>
      <c r="H50" s="7"/>
    </row>
    <row r="51" spans="1:8" s="5" customFormat="1" ht="24.9" customHeight="1" x14ac:dyDescent="0.3">
      <c r="A51" s="15" t="s">
        <v>186</v>
      </c>
      <c r="B51" s="13">
        <v>1683</v>
      </c>
      <c r="C51" s="6">
        <v>200</v>
      </c>
      <c r="D51" s="7">
        <f>SUM(C51/B51)</f>
        <v>0.11883541295306001</v>
      </c>
      <c r="E51" s="6">
        <v>305</v>
      </c>
      <c r="F51" s="7">
        <f t="shared" si="8"/>
        <v>0.18122400475341652</v>
      </c>
      <c r="G51" s="6">
        <v>25</v>
      </c>
      <c r="H51" s="7">
        <f t="shared" si="7"/>
        <v>8.1967213114754092E-2</v>
      </c>
    </row>
    <row r="52" spans="1:8" s="5" customFormat="1" ht="24.9" customHeight="1" x14ac:dyDescent="0.3">
      <c r="A52" s="15" t="s">
        <v>187</v>
      </c>
      <c r="B52" s="13">
        <v>1104</v>
      </c>
      <c r="C52" s="6">
        <v>100</v>
      </c>
      <c r="D52" s="7">
        <f>SUM(C52/B52)</f>
        <v>9.0579710144927536E-2</v>
      </c>
      <c r="E52" s="6">
        <v>209</v>
      </c>
      <c r="F52" s="7">
        <f t="shared" si="8"/>
        <v>0.18931159420289856</v>
      </c>
      <c r="G52" s="6">
        <v>1</v>
      </c>
      <c r="H52" s="7">
        <f t="shared" si="7"/>
        <v>4.7846889952153108E-3</v>
      </c>
    </row>
    <row r="53" spans="1:8" s="5" customFormat="1" ht="24.9" customHeight="1" x14ac:dyDescent="0.3">
      <c r="A53" s="15" t="s">
        <v>32</v>
      </c>
      <c r="B53" s="13">
        <v>2124</v>
      </c>
      <c r="C53" s="6"/>
      <c r="D53" s="7"/>
      <c r="E53" s="6">
        <v>552</v>
      </c>
      <c r="F53" s="7">
        <f t="shared" si="8"/>
        <v>0.25988700564971751</v>
      </c>
      <c r="G53" s="6">
        <v>62</v>
      </c>
      <c r="H53" s="7">
        <f t="shared" si="7"/>
        <v>0.11231884057971014</v>
      </c>
    </row>
    <row r="54" spans="1:8" s="5" customFormat="1" ht="24.9" customHeight="1" x14ac:dyDescent="0.3">
      <c r="A54" s="15" t="s">
        <v>142</v>
      </c>
      <c r="B54" s="13">
        <v>2132</v>
      </c>
      <c r="C54" s="6">
        <v>86</v>
      </c>
      <c r="D54" s="7">
        <f>SUM(C54/B54)</f>
        <v>4.0337711069418386E-2</v>
      </c>
      <c r="E54" s="6">
        <v>116</v>
      </c>
      <c r="F54" s="7">
        <f>SUM(E54/B54)</f>
        <v>5.4409005628517824E-2</v>
      </c>
      <c r="G54" s="6">
        <v>2</v>
      </c>
      <c r="H54" s="7">
        <f>SUM(G54/E54)</f>
        <v>1.7241379310344827E-2</v>
      </c>
    </row>
    <row r="55" spans="1:8" s="5" customFormat="1" ht="24.9" customHeight="1" x14ac:dyDescent="0.3">
      <c r="A55" s="15" t="s">
        <v>169</v>
      </c>
      <c r="B55" s="13">
        <v>16655</v>
      </c>
      <c r="C55" s="6">
        <v>265</v>
      </c>
      <c r="D55" s="7">
        <f>SUM(C55/B55)</f>
        <v>1.591113779645752E-2</v>
      </c>
      <c r="E55" s="6">
        <v>1578</v>
      </c>
      <c r="F55" s="7">
        <f>SUM(E55/B55)</f>
        <v>9.4746322425697985E-2</v>
      </c>
      <c r="G55" s="6">
        <v>310</v>
      </c>
      <c r="H55" s="7">
        <f>SUM(G55/E55)</f>
        <v>0.1964512040557668</v>
      </c>
    </row>
    <row r="56" spans="1:8" s="5" customFormat="1" ht="24.9" customHeight="1" x14ac:dyDescent="0.3">
      <c r="A56" s="15" t="s">
        <v>31</v>
      </c>
      <c r="B56" s="13">
        <v>1697</v>
      </c>
      <c r="C56" s="6"/>
      <c r="D56" s="7"/>
      <c r="E56" s="6">
        <v>348</v>
      </c>
      <c r="F56" s="7">
        <f>SUM(E56/B56)</f>
        <v>0.20506776664702417</v>
      </c>
      <c r="G56" s="6">
        <v>55</v>
      </c>
      <c r="H56" s="7">
        <f>SUM(G56/E56)</f>
        <v>0.15804597701149425</v>
      </c>
    </row>
    <row r="57" spans="1:8" s="5" customFormat="1" ht="24.9" customHeight="1" x14ac:dyDescent="0.3">
      <c r="A57" s="15" t="s">
        <v>114</v>
      </c>
      <c r="B57" s="13">
        <v>3650</v>
      </c>
      <c r="C57" s="6">
        <v>87</v>
      </c>
      <c r="D57" s="7">
        <f t="shared" ref="D57:D67" si="9">SUM(C57/B57)</f>
        <v>2.3835616438356164E-2</v>
      </c>
      <c r="E57" s="6">
        <v>746</v>
      </c>
      <c r="F57" s="7">
        <f>SUM(E57/B57)</f>
        <v>0.20438356164383562</v>
      </c>
      <c r="G57" s="6">
        <v>37</v>
      </c>
      <c r="H57" s="7">
        <f>SUM(G57/E57)</f>
        <v>4.9597855227882036E-2</v>
      </c>
    </row>
    <row r="58" spans="1:8" s="5" customFormat="1" ht="24.9" customHeight="1" x14ac:dyDescent="0.3">
      <c r="A58" s="15" t="s">
        <v>28</v>
      </c>
      <c r="B58" s="13">
        <v>1343</v>
      </c>
      <c r="C58" s="6">
        <v>125</v>
      </c>
      <c r="D58" s="7">
        <f t="shared" si="9"/>
        <v>9.3075204765450489E-2</v>
      </c>
      <c r="E58" s="6">
        <v>204</v>
      </c>
      <c r="F58" s="7">
        <f>SUM(E58/B58)</f>
        <v>0.15189873417721519</v>
      </c>
      <c r="G58" s="6"/>
      <c r="H58" s="7"/>
    </row>
    <row r="59" spans="1:8" s="5" customFormat="1" ht="24.9" customHeight="1" x14ac:dyDescent="0.3">
      <c r="A59" s="15" t="s">
        <v>25</v>
      </c>
      <c r="B59" s="13">
        <v>751</v>
      </c>
      <c r="C59" s="6">
        <v>105</v>
      </c>
      <c r="D59" s="7">
        <f t="shared" si="9"/>
        <v>0.13981358189081225</v>
      </c>
      <c r="E59" s="6"/>
      <c r="F59" s="7"/>
      <c r="G59" s="6"/>
      <c r="H59" s="7"/>
    </row>
    <row r="60" spans="1:8" s="5" customFormat="1" ht="24.9" customHeight="1" x14ac:dyDescent="0.3">
      <c r="A60" s="15" t="s">
        <v>94</v>
      </c>
      <c r="B60" s="13">
        <v>1189</v>
      </c>
      <c r="C60" s="6">
        <v>100</v>
      </c>
      <c r="D60" s="7">
        <f t="shared" si="9"/>
        <v>8.4104289318755257E-2</v>
      </c>
      <c r="E60" s="6"/>
      <c r="F60" s="7"/>
      <c r="G60" s="6"/>
      <c r="H60" s="7"/>
    </row>
    <row r="61" spans="1:8" s="5" customFormat="1" ht="24.9" customHeight="1" x14ac:dyDescent="0.3">
      <c r="A61" s="15" t="s">
        <v>103</v>
      </c>
      <c r="B61" s="13">
        <v>923</v>
      </c>
      <c r="C61" s="6">
        <v>105</v>
      </c>
      <c r="D61" s="7">
        <f t="shared" si="9"/>
        <v>0.11375947995666305</v>
      </c>
      <c r="E61" s="6"/>
      <c r="F61" s="7"/>
      <c r="G61" s="6"/>
      <c r="H61" s="7"/>
    </row>
    <row r="62" spans="1:8" s="5" customFormat="1" ht="24.9" customHeight="1" x14ac:dyDescent="0.3">
      <c r="A62" s="15" t="s">
        <v>38</v>
      </c>
      <c r="B62" s="13">
        <v>3538</v>
      </c>
      <c r="C62" s="6">
        <v>109</v>
      </c>
      <c r="D62" s="7">
        <f t="shared" si="9"/>
        <v>3.0808366308648954E-2</v>
      </c>
      <c r="E62" s="6">
        <v>671</v>
      </c>
      <c r="F62" s="7">
        <f>SUM(E62/B62)</f>
        <v>0.18965517241379309</v>
      </c>
      <c r="G62" s="6">
        <v>79</v>
      </c>
      <c r="H62" s="7">
        <f>SUM(G62/E62)</f>
        <v>0.11773472429210134</v>
      </c>
    </row>
    <row r="63" spans="1:8" s="5" customFormat="1" ht="24.9" customHeight="1" x14ac:dyDescent="0.3">
      <c r="A63" s="15" t="s">
        <v>65</v>
      </c>
      <c r="B63" s="13">
        <v>772</v>
      </c>
      <c r="C63" s="6">
        <v>55</v>
      </c>
      <c r="D63" s="7">
        <f t="shared" si="9"/>
        <v>7.1243523316062179E-2</v>
      </c>
      <c r="E63" s="6"/>
      <c r="F63" s="7"/>
      <c r="G63" s="6"/>
      <c r="H63" s="7"/>
    </row>
    <row r="64" spans="1:8" s="5" customFormat="1" ht="24.9" customHeight="1" x14ac:dyDescent="0.3">
      <c r="A64" s="15" t="s">
        <v>2</v>
      </c>
      <c r="B64" s="13">
        <v>168</v>
      </c>
      <c r="C64" s="6">
        <v>35</v>
      </c>
      <c r="D64" s="7">
        <f t="shared" si="9"/>
        <v>0.20833333333333334</v>
      </c>
      <c r="E64" s="6">
        <v>64</v>
      </c>
      <c r="F64" s="7">
        <f>SUM(E64/B64)</f>
        <v>0.38095238095238093</v>
      </c>
      <c r="G64" s="6">
        <v>5</v>
      </c>
      <c r="H64" s="7">
        <f>SUM(G64/E64)</f>
        <v>7.8125E-2</v>
      </c>
    </row>
    <row r="65" spans="1:8" s="5" customFormat="1" ht="24.9" customHeight="1" x14ac:dyDescent="0.3">
      <c r="A65" s="15" t="s">
        <v>17</v>
      </c>
      <c r="B65" s="13">
        <v>518</v>
      </c>
      <c r="C65" s="6">
        <v>113</v>
      </c>
      <c r="D65" s="7">
        <f t="shared" si="9"/>
        <v>0.21814671814671815</v>
      </c>
      <c r="E65" s="6">
        <v>251</v>
      </c>
      <c r="F65" s="7">
        <f>SUM(E65/B65)</f>
        <v>0.48455598455598453</v>
      </c>
      <c r="G65" s="6">
        <v>41</v>
      </c>
      <c r="H65" s="7">
        <f>SUM(G65/E65)</f>
        <v>0.16334661354581673</v>
      </c>
    </row>
    <row r="66" spans="1:8" s="5" customFormat="1" ht="24.9" customHeight="1" x14ac:dyDescent="0.3">
      <c r="A66" s="15" t="s">
        <v>188</v>
      </c>
      <c r="B66" s="13">
        <v>60</v>
      </c>
      <c r="C66" s="6">
        <v>16</v>
      </c>
      <c r="D66" s="7">
        <f t="shared" si="9"/>
        <v>0.26666666666666666</v>
      </c>
      <c r="E66" s="6">
        <v>22</v>
      </c>
      <c r="F66" s="7">
        <f>SUM(E66/B66)</f>
        <v>0.36666666666666664</v>
      </c>
      <c r="G66" s="6">
        <v>1</v>
      </c>
      <c r="H66" s="7">
        <f>SUM(G66/E66)</f>
        <v>4.5454545454545456E-2</v>
      </c>
    </row>
    <row r="67" spans="1:8" s="5" customFormat="1" ht="24.9" customHeight="1" x14ac:dyDescent="0.3">
      <c r="A67" s="15" t="s">
        <v>189</v>
      </c>
      <c r="B67" s="13">
        <v>220</v>
      </c>
      <c r="C67" s="6">
        <v>53</v>
      </c>
      <c r="D67" s="7">
        <f t="shared" si="9"/>
        <v>0.24090909090909091</v>
      </c>
      <c r="E67" s="6"/>
      <c r="F67" s="7"/>
      <c r="G67" s="6"/>
      <c r="H67" s="7"/>
    </row>
    <row r="68" spans="1:8" s="5" customFormat="1" ht="24.9" customHeight="1" x14ac:dyDescent="0.3">
      <c r="A68" s="15" t="s">
        <v>161</v>
      </c>
      <c r="B68" s="13">
        <v>586</v>
      </c>
      <c r="C68" s="6">
        <v>100</v>
      </c>
      <c r="D68" s="7">
        <f>SUM(C68/B68)</f>
        <v>0.17064846416382254</v>
      </c>
      <c r="E68" s="6"/>
      <c r="F68" s="7"/>
      <c r="G68" s="6"/>
      <c r="H68" s="7"/>
    </row>
    <row r="69" spans="1:8" s="5" customFormat="1" ht="24.9" customHeight="1" x14ac:dyDescent="0.3">
      <c r="A69" s="15" t="s">
        <v>19</v>
      </c>
      <c r="B69" s="13">
        <v>709</v>
      </c>
      <c r="C69" s="6">
        <v>117</v>
      </c>
      <c r="D69" s="7">
        <f>SUM(C69/B69)</f>
        <v>0.16502115655853314</v>
      </c>
      <c r="E69" s="6"/>
      <c r="F69" s="7"/>
      <c r="G69" s="6"/>
      <c r="H69" s="7"/>
    </row>
    <row r="70" spans="1:8" s="5" customFormat="1" ht="24.9" customHeight="1" x14ac:dyDescent="0.3">
      <c r="A70" s="15" t="s">
        <v>7</v>
      </c>
      <c r="B70" s="13">
        <v>191</v>
      </c>
      <c r="C70" s="6"/>
      <c r="D70" s="7"/>
      <c r="E70" s="6">
        <v>70</v>
      </c>
      <c r="F70" s="7">
        <f t="shared" ref="F70:F77" si="10">SUM(E70/B70)</f>
        <v>0.36649214659685864</v>
      </c>
      <c r="G70" s="6">
        <v>2</v>
      </c>
      <c r="H70" s="7">
        <f t="shared" ref="H70:H77" si="11">SUM(G70/E70)</f>
        <v>2.8571428571428571E-2</v>
      </c>
    </row>
    <row r="71" spans="1:8" s="5" customFormat="1" ht="24.9" customHeight="1" x14ac:dyDescent="0.3">
      <c r="A71" s="15" t="s">
        <v>134</v>
      </c>
      <c r="B71" s="13">
        <v>1659</v>
      </c>
      <c r="C71" s="6"/>
      <c r="D71" s="7"/>
      <c r="E71" s="6">
        <v>356</v>
      </c>
      <c r="F71" s="7">
        <f t="shared" si="10"/>
        <v>0.21458710066305003</v>
      </c>
      <c r="G71" s="6">
        <v>46</v>
      </c>
      <c r="H71" s="7">
        <f t="shared" si="11"/>
        <v>0.12921348314606743</v>
      </c>
    </row>
    <row r="72" spans="1:8" s="5" customFormat="1" ht="24.9" customHeight="1" x14ac:dyDescent="0.3">
      <c r="A72" s="15" t="s">
        <v>190</v>
      </c>
      <c r="B72" s="13">
        <v>562</v>
      </c>
      <c r="C72" s="6">
        <v>77</v>
      </c>
      <c r="D72" s="7">
        <f>SUM(C72/B72)</f>
        <v>0.13701067615658363</v>
      </c>
      <c r="E72" s="6">
        <v>253</v>
      </c>
      <c r="F72" s="7">
        <f t="shared" si="10"/>
        <v>0.45017793594306049</v>
      </c>
      <c r="G72" s="6">
        <v>45</v>
      </c>
      <c r="H72" s="7">
        <f t="shared" si="11"/>
        <v>0.17786561264822134</v>
      </c>
    </row>
    <row r="73" spans="1:8" s="5" customFormat="1" ht="24.9" customHeight="1" x14ac:dyDescent="0.3">
      <c r="A73" s="15" t="s">
        <v>153</v>
      </c>
      <c r="B73" s="13">
        <v>8581</v>
      </c>
      <c r="C73" s="6"/>
      <c r="D73" s="7"/>
      <c r="E73" s="6">
        <v>1316</v>
      </c>
      <c r="F73" s="7">
        <f t="shared" si="10"/>
        <v>0.15336207901177018</v>
      </c>
      <c r="G73" s="6">
        <v>127</v>
      </c>
      <c r="H73" s="7">
        <f t="shared" si="11"/>
        <v>9.6504559270516724E-2</v>
      </c>
    </row>
    <row r="74" spans="1:8" s="5" customFormat="1" ht="24.9" customHeight="1" x14ac:dyDescent="0.3">
      <c r="A74" s="15" t="s">
        <v>97</v>
      </c>
      <c r="B74" s="13">
        <v>2624</v>
      </c>
      <c r="C74" s="6">
        <v>218</v>
      </c>
      <c r="D74" s="7">
        <f>SUM(C74/B74)</f>
        <v>8.3079268292682931E-2</v>
      </c>
      <c r="E74" s="6">
        <v>539</v>
      </c>
      <c r="F74" s="7">
        <f t="shared" si="10"/>
        <v>0.20541158536585366</v>
      </c>
      <c r="G74" s="6">
        <v>15</v>
      </c>
      <c r="H74" s="7">
        <f t="shared" si="11"/>
        <v>2.7829313543599257E-2</v>
      </c>
    </row>
    <row r="75" spans="1:8" s="5" customFormat="1" ht="24.9" customHeight="1" x14ac:dyDescent="0.3">
      <c r="A75" s="15" t="s">
        <v>70</v>
      </c>
      <c r="B75" s="13">
        <v>2023</v>
      </c>
      <c r="C75" s="6">
        <v>187</v>
      </c>
      <c r="D75" s="7">
        <f>SUM(C75/B75)</f>
        <v>9.2436974789915971E-2</v>
      </c>
      <c r="E75" s="6">
        <v>460</v>
      </c>
      <c r="F75" s="7">
        <f t="shared" si="10"/>
        <v>0.22738507167572911</v>
      </c>
      <c r="G75" s="6">
        <v>37</v>
      </c>
      <c r="H75" s="7">
        <f t="shared" si="11"/>
        <v>8.0434782608695646E-2</v>
      </c>
    </row>
    <row r="76" spans="1:8" s="5" customFormat="1" ht="24.9" customHeight="1" x14ac:dyDescent="0.3">
      <c r="A76" s="15" t="s">
        <v>93</v>
      </c>
      <c r="B76" s="13">
        <v>3943</v>
      </c>
      <c r="C76" s="6"/>
      <c r="D76" s="7"/>
      <c r="E76" s="6">
        <v>1388</v>
      </c>
      <c r="F76" s="7">
        <f t="shared" si="10"/>
        <v>0.35201623129596754</v>
      </c>
      <c r="G76" s="6">
        <v>304</v>
      </c>
      <c r="H76" s="7">
        <f t="shared" si="11"/>
        <v>0.21902017291066284</v>
      </c>
    </row>
    <row r="77" spans="1:8" s="5" customFormat="1" ht="24.9" customHeight="1" x14ac:dyDescent="0.3">
      <c r="A77" s="15" t="s">
        <v>44</v>
      </c>
      <c r="B77" s="13">
        <v>389</v>
      </c>
      <c r="C77" s="6">
        <v>71</v>
      </c>
      <c r="D77" s="7">
        <f>SUM(C77/B77)</f>
        <v>0.18251928020565553</v>
      </c>
      <c r="E77" s="6">
        <v>112</v>
      </c>
      <c r="F77" s="7">
        <f t="shared" si="10"/>
        <v>0.2879177377892031</v>
      </c>
      <c r="G77" s="6">
        <v>2</v>
      </c>
      <c r="H77" s="7">
        <f t="shared" si="11"/>
        <v>1.7857142857142856E-2</v>
      </c>
    </row>
    <row r="78" spans="1:8" s="5" customFormat="1" ht="24.9" customHeight="1" x14ac:dyDescent="0.3">
      <c r="A78" s="15" t="s">
        <v>164</v>
      </c>
      <c r="B78" s="13">
        <v>511</v>
      </c>
      <c r="C78" s="6">
        <v>65</v>
      </c>
      <c r="D78" s="7">
        <f>SUM(C78/B78)</f>
        <v>0.12720156555772993</v>
      </c>
      <c r="E78" s="6">
        <v>143</v>
      </c>
      <c r="F78" s="7">
        <f>SUM(E78/B78)</f>
        <v>0.27984344422700586</v>
      </c>
      <c r="G78" s="6">
        <v>6</v>
      </c>
      <c r="H78" s="7">
        <f>SUM(G78/E78)</f>
        <v>4.195804195804196E-2</v>
      </c>
    </row>
    <row r="79" spans="1:8" s="5" customFormat="1" ht="24.9" customHeight="1" x14ac:dyDescent="0.3">
      <c r="A79" s="15" t="s">
        <v>10</v>
      </c>
      <c r="B79" s="13">
        <v>1575</v>
      </c>
      <c r="C79" s="6"/>
      <c r="D79" s="7"/>
      <c r="E79" s="6">
        <v>330</v>
      </c>
      <c r="F79" s="7">
        <f>SUM(E79/B79)</f>
        <v>0.20952380952380953</v>
      </c>
      <c r="G79" s="6">
        <v>16</v>
      </c>
      <c r="H79" s="7">
        <f>SUM(G79/E79)</f>
        <v>4.8484848484848485E-2</v>
      </c>
    </row>
    <row r="80" spans="1:8" s="5" customFormat="1" ht="24.9" customHeight="1" x14ac:dyDescent="0.3">
      <c r="A80" s="15" t="s">
        <v>160</v>
      </c>
      <c r="B80" s="13">
        <v>2017</v>
      </c>
      <c r="C80" s="6">
        <v>156</v>
      </c>
      <c r="D80" s="7">
        <f>SUM(C80/B80)</f>
        <v>7.734258800198314E-2</v>
      </c>
      <c r="E80" s="6">
        <v>282</v>
      </c>
      <c r="F80" s="7">
        <f>SUM(E80/B80)</f>
        <v>0.13981160138820029</v>
      </c>
      <c r="G80" s="6">
        <v>43</v>
      </c>
      <c r="H80" s="7">
        <f>SUM(G80/E80)</f>
        <v>0.1524822695035461</v>
      </c>
    </row>
    <row r="81" spans="1:8" s="5" customFormat="1" ht="24.9" customHeight="1" x14ac:dyDescent="0.3">
      <c r="A81" s="15" t="s">
        <v>62</v>
      </c>
      <c r="B81" s="13">
        <v>329</v>
      </c>
      <c r="C81" s="6">
        <v>25</v>
      </c>
      <c r="D81" s="7">
        <f>SUM(C81/B81)</f>
        <v>7.598784194528875E-2</v>
      </c>
      <c r="E81" s="6">
        <v>55</v>
      </c>
      <c r="F81" s="7">
        <f>SUM(E81/B81)</f>
        <v>0.16717325227963525</v>
      </c>
      <c r="G81" s="6">
        <v>1</v>
      </c>
      <c r="H81" s="7">
        <f>SUM(G81/E81)</f>
        <v>1.8181818181818181E-2</v>
      </c>
    </row>
    <row r="82" spans="1:8" s="5" customFormat="1" ht="24.9" customHeight="1" x14ac:dyDescent="0.3">
      <c r="A82" s="15" t="s">
        <v>90</v>
      </c>
      <c r="B82" s="13">
        <v>752</v>
      </c>
      <c r="C82" s="6">
        <v>110</v>
      </c>
      <c r="D82" s="7">
        <f>SUM(C82/B82)</f>
        <v>0.14627659574468085</v>
      </c>
      <c r="E82" s="6"/>
      <c r="F82" s="7"/>
      <c r="G82" s="6"/>
      <c r="H82" s="7"/>
    </row>
    <row r="83" spans="1:8" s="5" customFormat="1" ht="24.9" customHeight="1" x14ac:dyDescent="0.3">
      <c r="A83" s="15" t="s">
        <v>71</v>
      </c>
      <c r="B83" s="13">
        <v>399</v>
      </c>
      <c r="C83" s="6"/>
      <c r="D83" s="7"/>
      <c r="E83" s="6">
        <v>146</v>
      </c>
      <c r="F83" s="7">
        <f>SUM(E83/B83)</f>
        <v>0.36591478696741853</v>
      </c>
      <c r="G83" s="6">
        <v>27</v>
      </c>
      <c r="H83" s="7">
        <f>SUM(G83/E83)</f>
        <v>0.18493150684931506</v>
      </c>
    </row>
    <row r="84" spans="1:8" s="5" customFormat="1" ht="24.9" customHeight="1" x14ac:dyDescent="0.3">
      <c r="A84" s="15" t="s">
        <v>191</v>
      </c>
      <c r="B84" s="13">
        <v>96</v>
      </c>
      <c r="C84" s="6">
        <v>72</v>
      </c>
      <c r="D84" s="7">
        <f>SUM(C84/B84)</f>
        <v>0.75</v>
      </c>
      <c r="E84" s="6"/>
      <c r="F84" s="7"/>
      <c r="G84" s="6"/>
      <c r="H84" s="7"/>
    </row>
    <row r="85" spans="1:8" s="5" customFormat="1" ht="24.9" customHeight="1" x14ac:dyDescent="0.3">
      <c r="A85" s="15" t="s">
        <v>60</v>
      </c>
      <c r="B85" s="13">
        <v>357</v>
      </c>
      <c r="C85" s="6">
        <v>49</v>
      </c>
      <c r="D85" s="7">
        <f t="shared" ref="D85:D92" si="12">SUM(C85/B85)</f>
        <v>0.13725490196078433</v>
      </c>
      <c r="E85" s="6">
        <v>49</v>
      </c>
      <c r="F85" s="7">
        <f t="shared" ref="F85" si="13">SUM(E85/B85)</f>
        <v>0.13725490196078433</v>
      </c>
      <c r="G85" s="6">
        <v>1</v>
      </c>
      <c r="H85" s="7">
        <f t="shared" ref="H85" si="14">SUM(G85/E85)</f>
        <v>2.0408163265306121E-2</v>
      </c>
    </row>
    <row r="86" spans="1:8" s="5" customFormat="1" ht="24.9" customHeight="1" x14ac:dyDescent="0.3">
      <c r="A86" s="15" t="s">
        <v>63</v>
      </c>
      <c r="B86" s="13">
        <v>4121</v>
      </c>
      <c r="C86" s="6">
        <v>400</v>
      </c>
      <c r="D86" s="7">
        <f t="shared" si="12"/>
        <v>9.7063819461295803E-2</v>
      </c>
      <c r="E86" s="6">
        <v>798</v>
      </c>
      <c r="F86" s="7">
        <f>SUM(E86/B86)</f>
        <v>0.19364231982528513</v>
      </c>
      <c r="G86" s="6">
        <v>162</v>
      </c>
      <c r="H86" s="7">
        <f>SUM(G86/E86)</f>
        <v>0.20300751879699247</v>
      </c>
    </row>
    <row r="87" spans="1:8" s="5" customFormat="1" ht="24.9" customHeight="1" x14ac:dyDescent="0.3">
      <c r="A87" s="15" t="s">
        <v>18</v>
      </c>
      <c r="B87" s="13">
        <v>2177</v>
      </c>
      <c r="C87" s="6">
        <v>86</v>
      </c>
      <c r="D87" s="7">
        <f t="shared" si="12"/>
        <v>3.9503904455672943E-2</v>
      </c>
      <c r="E87" s="6">
        <v>211</v>
      </c>
      <c r="F87" s="7">
        <f>SUM(E87/B87)</f>
        <v>9.6922370234267335E-2</v>
      </c>
      <c r="G87" s="6">
        <v>3</v>
      </c>
      <c r="H87" s="7">
        <f>SUM(G87/E87)</f>
        <v>1.4218009478672985E-2</v>
      </c>
    </row>
    <row r="88" spans="1:8" s="5" customFormat="1" ht="24.9" customHeight="1" x14ac:dyDescent="0.3">
      <c r="A88" s="15" t="s">
        <v>192</v>
      </c>
      <c r="B88" s="13">
        <v>968</v>
      </c>
      <c r="C88" s="6"/>
      <c r="D88" s="7"/>
      <c r="E88" s="6">
        <v>401</v>
      </c>
      <c r="F88" s="7">
        <f t="shared" ref="F88:F91" si="15">SUM(E88/B88)</f>
        <v>0.41425619834710742</v>
      </c>
      <c r="G88" s="6">
        <v>47</v>
      </c>
      <c r="H88" s="7">
        <f>SUM(G88/E88)</f>
        <v>0.1172069825436409</v>
      </c>
    </row>
    <row r="89" spans="1:8" s="5" customFormat="1" ht="24.9" customHeight="1" x14ac:dyDescent="0.3">
      <c r="A89" s="15" t="s">
        <v>5</v>
      </c>
      <c r="B89" s="13">
        <v>117</v>
      </c>
      <c r="C89" s="6">
        <v>37</v>
      </c>
      <c r="D89" s="7">
        <f t="shared" si="12"/>
        <v>0.31623931623931623</v>
      </c>
      <c r="E89" s="6"/>
      <c r="F89" s="7"/>
      <c r="G89" s="6"/>
      <c r="H89" s="7"/>
    </row>
    <row r="90" spans="1:8" s="5" customFormat="1" ht="24.9" customHeight="1" x14ac:dyDescent="0.3">
      <c r="A90" s="15" t="s">
        <v>193</v>
      </c>
      <c r="B90" s="13">
        <v>705</v>
      </c>
      <c r="C90" s="6">
        <v>32</v>
      </c>
      <c r="D90" s="7">
        <f t="shared" si="12"/>
        <v>4.5390070921985819E-2</v>
      </c>
      <c r="E90" s="6">
        <v>117</v>
      </c>
      <c r="F90" s="7">
        <f t="shared" si="15"/>
        <v>0.16595744680851063</v>
      </c>
      <c r="G90" s="6">
        <v>6</v>
      </c>
      <c r="H90" s="7">
        <f t="shared" ref="H90:H91" si="16">SUM(G90/E90)</f>
        <v>5.128205128205128E-2</v>
      </c>
    </row>
    <row r="91" spans="1:8" s="5" customFormat="1" ht="24.9" customHeight="1" x14ac:dyDescent="0.3">
      <c r="A91" s="15" t="s">
        <v>194</v>
      </c>
      <c r="B91" s="13">
        <v>81</v>
      </c>
      <c r="C91" s="6">
        <v>15</v>
      </c>
      <c r="D91" s="7">
        <f t="shared" si="12"/>
        <v>0.18518518518518517</v>
      </c>
      <c r="E91" s="6">
        <v>30</v>
      </c>
      <c r="F91" s="7">
        <f t="shared" si="15"/>
        <v>0.37037037037037035</v>
      </c>
      <c r="G91" s="6">
        <v>1</v>
      </c>
      <c r="H91" s="7">
        <f t="shared" si="16"/>
        <v>3.3333333333333333E-2</v>
      </c>
    </row>
    <row r="92" spans="1:8" s="5" customFormat="1" ht="24.9" customHeight="1" x14ac:dyDescent="0.3">
      <c r="A92" s="15" t="s">
        <v>147</v>
      </c>
      <c r="B92" s="13">
        <v>1050</v>
      </c>
      <c r="C92" s="6">
        <v>150</v>
      </c>
      <c r="D92" s="7">
        <f t="shared" si="12"/>
        <v>0.14285714285714285</v>
      </c>
      <c r="E92" s="6">
        <v>297</v>
      </c>
      <c r="F92" s="7">
        <f>SUM(E92/B92)</f>
        <v>0.28285714285714286</v>
      </c>
      <c r="G92" s="6">
        <v>8</v>
      </c>
      <c r="H92" s="7">
        <f>SUM(G92/E92)</f>
        <v>2.6936026936026935E-2</v>
      </c>
    </row>
    <row r="93" spans="1:8" s="5" customFormat="1" ht="24.9" customHeight="1" x14ac:dyDescent="0.3">
      <c r="A93" s="15" t="s">
        <v>135</v>
      </c>
      <c r="B93" s="13">
        <v>1559</v>
      </c>
      <c r="C93" s="6"/>
      <c r="D93" s="7"/>
      <c r="E93" s="6">
        <v>309</v>
      </c>
      <c r="F93" s="7">
        <f>SUM(E93/B93)</f>
        <v>0.19820397690827454</v>
      </c>
      <c r="G93" s="6">
        <v>24</v>
      </c>
      <c r="H93" s="7">
        <f>SUM(G93/E93)</f>
        <v>7.7669902912621352E-2</v>
      </c>
    </row>
    <row r="94" spans="1:8" s="5" customFormat="1" ht="24.9" customHeight="1" x14ac:dyDescent="0.3">
      <c r="A94" s="15" t="s">
        <v>54</v>
      </c>
      <c r="B94" s="13">
        <v>1003</v>
      </c>
      <c r="C94" s="6"/>
      <c r="D94" s="7"/>
      <c r="E94" s="6">
        <v>199</v>
      </c>
      <c r="F94" s="7">
        <f>SUM(E94/B94)</f>
        <v>0.19840478564307079</v>
      </c>
      <c r="G94" s="6">
        <v>11</v>
      </c>
      <c r="H94" s="7">
        <f>SUM(G94/E94)</f>
        <v>5.5276381909547742E-2</v>
      </c>
    </row>
    <row r="95" spans="1:8" s="5" customFormat="1" ht="24.9" customHeight="1" x14ac:dyDescent="0.3">
      <c r="A95" s="15" t="s">
        <v>72</v>
      </c>
      <c r="B95" s="13">
        <v>3274</v>
      </c>
      <c r="C95" s="6">
        <v>85</v>
      </c>
      <c r="D95" s="7">
        <f>SUM(C95/B95)</f>
        <v>2.5962125839951129E-2</v>
      </c>
      <c r="E95" s="6">
        <v>972</v>
      </c>
      <c r="F95" s="7">
        <f>SUM(E95/B95)</f>
        <v>0.29688454489920585</v>
      </c>
      <c r="G95" s="6">
        <v>16</v>
      </c>
      <c r="H95" s="7">
        <f>SUM(G95/E95)</f>
        <v>1.646090534979424E-2</v>
      </c>
    </row>
    <row r="96" spans="1:8" s="5" customFormat="1" ht="24.9" customHeight="1" x14ac:dyDescent="0.3">
      <c r="A96" s="15" t="s">
        <v>126</v>
      </c>
      <c r="B96" s="13">
        <v>151</v>
      </c>
      <c r="C96" s="6">
        <v>1</v>
      </c>
      <c r="D96" s="7">
        <f>SUM(C96/B96)</f>
        <v>6.6225165562913907E-3</v>
      </c>
      <c r="E96" s="6"/>
      <c r="F96" s="7"/>
      <c r="G96" s="6"/>
      <c r="H96" s="7"/>
    </row>
    <row r="97" spans="1:8" s="5" customFormat="1" ht="24.9" customHeight="1" x14ac:dyDescent="0.3">
      <c r="A97" s="15" t="s">
        <v>84</v>
      </c>
      <c r="B97" s="13">
        <v>3768</v>
      </c>
      <c r="C97" s="6">
        <v>149</v>
      </c>
      <c r="D97" s="7">
        <f>SUM(C97/B97)</f>
        <v>3.9543524416135879E-2</v>
      </c>
      <c r="E97" s="6">
        <v>930</v>
      </c>
      <c r="F97" s="7">
        <f t="shared" ref="F97:F104" si="17">SUM(E97/B97)</f>
        <v>0.24681528662420382</v>
      </c>
      <c r="G97" s="6">
        <v>157</v>
      </c>
      <c r="H97" s="7">
        <f t="shared" ref="H97:H104" si="18">SUM(G97/E97)</f>
        <v>0.16881720430107527</v>
      </c>
    </row>
    <row r="98" spans="1:8" s="5" customFormat="1" ht="24.9" customHeight="1" x14ac:dyDescent="0.3">
      <c r="A98" s="15" t="s">
        <v>64</v>
      </c>
      <c r="B98" s="13">
        <v>689</v>
      </c>
      <c r="C98" s="6"/>
      <c r="D98" s="7"/>
      <c r="E98" s="6">
        <v>331</v>
      </c>
      <c r="F98" s="7">
        <f t="shared" si="17"/>
        <v>0.48040638606676345</v>
      </c>
      <c r="G98" s="6">
        <v>54</v>
      </c>
      <c r="H98" s="7">
        <f t="shared" si="18"/>
        <v>0.16314199395770393</v>
      </c>
    </row>
    <row r="99" spans="1:8" s="5" customFormat="1" ht="24.9" customHeight="1" x14ac:dyDescent="0.3">
      <c r="A99" s="15" t="s">
        <v>9</v>
      </c>
      <c r="B99" s="13">
        <v>1123</v>
      </c>
      <c r="C99" s="6">
        <v>125</v>
      </c>
      <c r="D99" s="7">
        <f>SUM(C99/B99)</f>
        <v>0.11130899376669635</v>
      </c>
      <c r="E99" s="6">
        <v>216</v>
      </c>
      <c r="F99" s="7">
        <f t="shared" si="17"/>
        <v>0.19234194122885129</v>
      </c>
      <c r="G99" s="6">
        <v>8</v>
      </c>
      <c r="H99" s="7">
        <f t="shared" si="18"/>
        <v>3.7037037037037035E-2</v>
      </c>
    </row>
    <row r="100" spans="1:8" s="5" customFormat="1" ht="24.9" customHeight="1" x14ac:dyDescent="0.3">
      <c r="A100" s="15" t="s">
        <v>12</v>
      </c>
      <c r="B100" s="13">
        <v>886</v>
      </c>
      <c r="C100" s="6">
        <v>35</v>
      </c>
      <c r="D100" s="7">
        <f>SUM(C100/B100)</f>
        <v>3.9503386004514675E-2</v>
      </c>
      <c r="E100" s="6">
        <v>118</v>
      </c>
      <c r="F100" s="7">
        <f t="shared" si="17"/>
        <v>0.13318284424379231</v>
      </c>
      <c r="G100" s="6">
        <v>3</v>
      </c>
      <c r="H100" s="7">
        <f t="shared" si="18"/>
        <v>2.5423728813559324E-2</v>
      </c>
    </row>
    <row r="101" spans="1:8" s="5" customFormat="1" ht="24.9" customHeight="1" x14ac:dyDescent="0.3">
      <c r="A101" s="15" t="s">
        <v>195</v>
      </c>
      <c r="B101" s="13">
        <v>5293</v>
      </c>
      <c r="C101" s="6">
        <v>162</v>
      </c>
      <c r="D101" s="7">
        <f>SUM(C101/B101)</f>
        <v>3.0606461364065748E-2</v>
      </c>
      <c r="E101" s="6">
        <v>765</v>
      </c>
      <c r="F101" s="7">
        <f t="shared" si="17"/>
        <v>0.14453051199697714</v>
      </c>
      <c r="G101" s="6">
        <v>56</v>
      </c>
      <c r="H101" s="7">
        <f t="shared" si="18"/>
        <v>7.3202614379084971E-2</v>
      </c>
    </row>
    <row r="102" spans="1:8" s="5" customFormat="1" ht="24.9" customHeight="1" x14ac:dyDescent="0.3">
      <c r="A102" s="15" t="s">
        <v>33</v>
      </c>
      <c r="B102" s="13">
        <v>1624</v>
      </c>
      <c r="C102" s="6"/>
      <c r="D102" s="7"/>
      <c r="E102" s="6">
        <v>441</v>
      </c>
      <c r="F102" s="7">
        <f t="shared" si="17"/>
        <v>0.27155172413793105</v>
      </c>
      <c r="G102" s="6">
        <v>49</v>
      </c>
      <c r="H102" s="7">
        <f t="shared" si="18"/>
        <v>0.1111111111111111</v>
      </c>
    </row>
    <row r="103" spans="1:8" s="5" customFormat="1" ht="24.9" customHeight="1" x14ac:dyDescent="0.3">
      <c r="A103" s="15" t="s">
        <v>78</v>
      </c>
      <c r="B103" s="13">
        <v>8139</v>
      </c>
      <c r="C103" s="6"/>
      <c r="D103" s="7"/>
      <c r="E103" s="6">
        <v>1717</v>
      </c>
      <c r="F103" s="7">
        <f t="shared" si="17"/>
        <v>0.210959577343654</v>
      </c>
      <c r="G103" s="6">
        <v>226</v>
      </c>
      <c r="H103" s="7">
        <f t="shared" si="18"/>
        <v>0.13162492719860222</v>
      </c>
    </row>
    <row r="104" spans="1:8" s="5" customFormat="1" ht="24.9" customHeight="1" x14ac:dyDescent="0.3">
      <c r="A104" s="15" t="s">
        <v>50</v>
      </c>
      <c r="B104" s="13">
        <v>1539</v>
      </c>
      <c r="C104" s="6"/>
      <c r="D104" s="7"/>
      <c r="E104" s="6">
        <v>333</v>
      </c>
      <c r="F104" s="7">
        <f t="shared" si="17"/>
        <v>0.21637426900584794</v>
      </c>
      <c r="G104" s="6">
        <v>25</v>
      </c>
      <c r="H104" s="7">
        <f t="shared" si="18"/>
        <v>7.5075075075075076E-2</v>
      </c>
    </row>
    <row r="105" spans="1:8" s="5" customFormat="1" ht="24.9" customHeight="1" x14ac:dyDescent="0.3">
      <c r="A105" s="15" t="s">
        <v>52</v>
      </c>
      <c r="B105" s="13">
        <v>927</v>
      </c>
      <c r="C105" s="6">
        <v>105</v>
      </c>
      <c r="D105" s="7">
        <f>SUM(C105/B105)</f>
        <v>0.11326860841423948</v>
      </c>
      <c r="E105" s="6"/>
      <c r="F105" s="7"/>
      <c r="G105" s="6"/>
      <c r="H105" s="7"/>
    </row>
    <row r="106" spans="1:8" s="5" customFormat="1" ht="24.9" customHeight="1" x14ac:dyDescent="0.3">
      <c r="A106" s="15" t="s">
        <v>115</v>
      </c>
      <c r="B106" s="13">
        <v>1404</v>
      </c>
      <c r="C106" s="6">
        <v>100</v>
      </c>
      <c r="D106" s="7">
        <f>SUM(C106/B106)</f>
        <v>7.1225071225071226E-2</v>
      </c>
      <c r="E106" s="6">
        <v>355</v>
      </c>
      <c r="F106" s="7">
        <f t="shared" ref="F106:F110" si="19">SUM(E106/B106)</f>
        <v>0.25284900284900286</v>
      </c>
      <c r="G106" s="6">
        <v>355</v>
      </c>
      <c r="H106" s="7">
        <f t="shared" ref="H106:H110" si="20">SUM(G106/E106)</f>
        <v>1</v>
      </c>
    </row>
    <row r="107" spans="1:8" s="5" customFormat="1" ht="24.9" customHeight="1" x14ac:dyDescent="0.3">
      <c r="A107" s="15" t="s">
        <v>154</v>
      </c>
      <c r="B107" s="13">
        <v>3517</v>
      </c>
      <c r="C107" s="6">
        <v>242</v>
      </c>
      <c r="D107" s="7">
        <f>SUM(C107/B107)</f>
        <v>6.880864373045209E-2</v>
      </c>
      <c r="E107" s="6">
        <v>599</v>
      </c>
      <c r="F107" s="7">
        <f t="shared" si="19"/>
        <v>0.17031560989479669</v>
      </c>
      <c r="G107" s="6">
        <v>60</v>
      </c>
      <c r="H107" s="7">
        <f t="shared" si="20"/>
        <v>0.1001669449081803</v>
      </c>
    </row>
    <row r="108" spans="1:8" s="5" customFormat="1" ht="24.9" customHeight="1" x14ac:dyDescent="0.3">
      <c r="A108" s="15" t="s">
        <v>49</v>
      </c>
      <c r="B108" s="13">
        <v>1058</v>
      </c>
      <c r="C108" s="6"/>
      <c r="D108" s="7"/>
      <c r="E108" s="6">
        <v>261</v>
      </c>
      <c r="F108" s="7">
        <f t="shared" si="19"/>
        <v>0.24669187145557656</v>
      </c>
      <c r="G108" s="6">
        <v>27</v>
      </c>
      <c r="H108" s="7">
        <f t="shared" si="20"/>
        <v>0.10344827586206896</v>
      </c>
    </row>
    <row r="109" spans="1:8" s="5" customFormat="1" ht="24.9" customHeight="1" x14ac:dyDescent="0.3">
      <c r="A109" s="15" t="s">
        <v>105</v>
      </c>
      <c r="B109" s="13">
        <v>141</v>
      </c>
      <c r="C109" s="6">
        <v>19</v>
      </c>
      <c r="D109" s="7">
        <f>SUM(C109/B109)</f>
        <v>0.13475177304964539</v>
      </c>
      <c r="E109" s="6">
        <v>30</v>
      </c>
      <c r="F109" s="7">
        <f t="shared" si="19"/>
        <v>0.21276595744680851</v>
      </c>
      <c r="G109" s="6"/>
      <c r="H109" s="7"/>
    </row>
    <row r="110" spans="1:8" s="5" customFormat="1" ht="24.9" customHeight="1" x14ac:dyDescent="0.3">
      <c r="A110" s="15" t="s">
        <v>30</v>
      </c>
      <c r="B110" s="13">
        <v>1336</v>
      </c>
      <c r="C110" s="6"/>
      <c r="D110" s="7"/>
      <c r="E110" s="6">
        <v>503</v>
      </c>
      <c r="F110" s="7">
        <f t="shared" si="19"/>
        <v>0.37649700598802394</v>
      </c>
      <c r="G110" s="6">
        <v>52</v>
      </c>
      <c r="H110" s="7">
        <f t="shared" si="20"/>
        <v>0.10337972166998012</v>
      </c>
    </row>
    <row r="111" spans="1:8" s="5" customFormat="1" ht="24.9" customHeight="1" x14ac:dyDescent="0.3">
      <c r="A111" s="15" t="s">
        <v>145</v>
      </c>
      <c r="B111" s="13">
        <v>1623</v>
      </c>
      <c r="C111" s="6">
        <v>100</v>
      </c>
      <c r="D111" s="7">
        <f>SUM(C111/B111)</f>
        <v>6.1614294516327786E-2</v>
      </c>
      <c r="E111" s="6">
        <v>130</v>
      </c>
      <c r="F111" s="7">
        <f>SUM(E111/B111)</f>
        <v>8.0098582871226121E-2</v>
      </c>
      <c r="G111" s="6"/>
      <c r="H111" s="7"/>
    </row>
    <row r="112" spans="1:8" s="5" customFormat="1" ht="24.9" customHeight="1" x14ac:dyDescent="0.3">
      <c r="A112" s="15" t="s">
        <v>162</v>
      </c>
      <c r="B112" s="13">
        <v>1259</v>
      </c>
      <c r="C112" s="6"/>
      <c r="D112" s="7"/>
      <c r="E112" s="6">
        <v>286</v>
      </c>
      <c r="F112" s="7">
        <f>SUM(E112/B112)</f>
        <v>0.22716441620333597</v>
      </c>
      <c r="G112" s="6">
        <v>43</v>
      </c>
      <c r="H112" s="7">
        <f>SUM(G112/E112)</f>
        <v>0.15034965034965034</v>
      </c>
    </row>
    <row r="113" spans="1:8" s="5" customFormat="1" ht="24.9" customHeight="1" x14ac:dyDescent="0.3">
      <c r="A113" s="15" t="s">
        <v>35</v>
      </c>
      <c r="B113" s="13">
        <v>3424</v>
      </c>
      <c r="C113" s="6"/>
      <c r="D113" s="7"/>
      <c r="E113" s="6">
        <v>555</v>
      </c>
      <c r="F113" s="7">
        <f>SUM(E113/B113)</f>
        <v>0.16209112149532709</v>
      </c>
      <c r="G113" s="6">
        <v>44</v>
      </c>
      <c r="H113" s="7">
        <f>SUM(G113/E113)</f>
        <v>7.9279279279279274E-2</v>
      </c>
    </row>
    <row r="114" spans="1:8" s="5" customFormat="1" ht="24.9" customHeight="1" x14ac:dyDescent="0.3">
      <c r="A114" s="15" t="s">
        <v>51</v>
      </c>
      <c r="B114" s="13">
        <v>754</v>
      </c>
      <c r="C114" s="6"/>
      <c r="D114" s="7"/>
      <c r="E114" s="6">
        <v>219</v>
      </c>
      <c r="F114" s="7">
        <f>SUM(E114/B114)</f>
        <v>0.29045092838196285</v>
      </c>
      <c r="G114" s="6">
        <v>46</v>
      </c>
      <c r="H114" s="7">
        <f>SUM(G114/E114)</f>
        <v>0.21004566210045661</v>
      </c>
    </row>
    <row r="115" spans="1:8" s="5" customFormat="1" ht="24.9" customHeight="1" x14ac:dyDescent="0.3">
      <c r="A115" s="15" t="s">
        <v>95</v>
      </c>
      <c r="B115" s="13">
        <v>3203</v>
      </c>
      <c r="C115" s="6">
        <v>100</v>
      </c>
      <c r="D115" s="7">
        <f>SUM(C115/B115)</f>
        <v>3.1220730565095223E-2</v>
      </c>
      <c r="E115" s="6">
        <v>928</v>
      </c>
      <c r="F115" s="7">
        <f>SUM(E115/B115)</f>
        <v>0.28972837964408366</v>
      </c>
      <c r="G115" s="6">
        <v>158</v>
      </c>
      <c r="H115" s="7">
        <f>SUM(G115/E115)</f>
        <v>0.17025862068965517</v>
      </c>
    </row>
    <row r="116" spans="1:8" s="5" customFormat="1" ht="24.9" customHeight="1" x14ac:dyDescent="0.3">
      <c r="A116" s="15" t="s">
        <v>45</v>
      </c>
      <c r="B116" s="13">
        <v>116</v>
      </c>
      <c r="C116" s="6">
        <v>16</v>
      </c>
      <c r="D116" s="7">
        <f>SUM(C116/B116)</f>
        <v>0.13793103448275862</v>
      </c>
      <c r="E116" s="6"/>
      <c r="F116" s="7"/>
      <c r="G116" s="6"/>
      <c r="H116" s="7"/>
    </row>
    <row r="117" spans="1:8" s="5" customFormat="1" ht="24.9" customHeight="1" x14ac:dyDescent="0.3">
      <c r="A117" s="15" t="s">
        <v>85</v>
      </c>
      <c r="B117" s="13">
        <v>3093</v>
      </c>
      <c r="C117" s="6"/>
      <c r="D117" s="7"/>
      <c r="E117" s="6">
        <v>1124</v>
      </c>
      <c r="F117" s="7">
        <f>SUM(E117/B117)</f>
        <v>0.36340122858066604</v>
      </c>
      <c r="G117" s="6">
        <v>76</v>
      </c>
      <c r="H117" s="7">
        <f>SUM(G117/E117)</f>
        <v>6.7615658362989328E-2</v>
      </c>
    </row>
    <row r="118" spans="1:8" s="5" customFormat="1" ht="24.9" customHeight="1" x14ac:dyDescent="0.3">
      <c r="A118" s="15" t="s">
        <v>104</v>
      </c>
      <c r="B118" s="13">
        <v>741</v>
      </c>
      <c r="C118" s="6">
        <v>65</v>
      </c>
      <c r="D118" s="7">
        <f>SUM(C118/B118)</f>
        <v>8.771929824561403E-2</v>
      </c>
      <c r="E118" s="6"/>
      <c r="F118" s="7"/>
      <c r="G118" s="6"/>
      <c r="H118" s="7"/>
    </row>
    <row r="119" spans="1:8" s="5" customFormat="1" ht="24.9" customHeight="1" x14ac:dyDescent="0.3">
      <c r="A119" s="15" t="s">
        <v>39</v>
      </c>
      <c r="B119" s="13">
        <v>872</v>
      </c>
      <c r="C119" s="6">
        <v>101</v>
      </c>
      <c r="D119" s="7">
        <f>SUM(C119/B119)</f>
        <v>0.11582568807339449</v>
      </c>
      <c r="E119" s="6">
        <v>367</v>
      </c>
      <c r="F119" s="7">
        <f>SUM(E119/B119)</f>
        <v>0.42087155963302753</v>
      </c>
      <c r="G119" s="6">
        <v>36</v>
      </c>
      <c r="H119" s="7">
        <f>SUM(G119/E119)</f>
        <v>9.8092643051771122E-2</v>
      </c>
    </row>
    <row r="120" spans="1:8" s="5" customFormat="1" ht="24.9" customHeight="1" x14ac:dyDescent="0.3">
      <c r="A120" s="15" t="s">
        <v>159</v>
      </c>
      <c r="B120" s="13">
        <v>472</v>
      </c>
      <c r="C120" s="6">
        <v>40</v>
      </c>
      <c r="D120" s="7">
        <f>SUM(C120/B120)</f>
        <v>8.4745762711864403E-2</v>
      </c>
      <c r="E120" s="6">
        <v>100</v>
      </c>
      <c r="F120" s="7">
        <f>SUM(E120/B120)</f>
        <v>0.21186440677966101</v>
      </c>
      <c r="G120" s="6">
        <v>8</v>
      </c>
      <c r="H120" s="7">
        <f>SUM(G120/E120)</f>
        <v>0.08</v>
      </c>
    </row>
    <row r="121" spans="1:8" s="5" customFormat="1" ht="24.9" customHeight="1" x14ac:dyDescent="0.3">
      <c r="A121" s="15" t="s">
        <v>91</v>
      </c>
      <c r="B121" s="13">
        <v>1087</v>
      </c>
      <c r="C121" s="6"/>
      <c r="D121" s="7"/>
      <c r="E121" s="6">
        <v>340</v>
      </c>
      <c r="F121" s="7">
        <f>SUM(E121/B121)</f>
        <v>0.31278748850046001</v>
      </c>
      <c r="G121" s="6">
        <v>21</v>
      </c>
      <c r="H121" s="7">
        <f>SUM(G121/E121)</f>
        <v>6.1764705882352944E-2</v>
      </c>
    </row>
    <row r="122" spans="1:8" s="5" customFormat="1" ht="24.9" customHeight="1" x14ac:dyDescent="0.3">
      <c r="A122" s="15" t="s">
        <v>58</v>
      </c>
      <c r="B122" s="13">
        <v>674</v>
      </c>
      <c r="C122" s="6">
        <v>84</v>
      </c>
      <c r="D122" s="7">
        <f t="shared" ref="D122:D129" si="21">SUM(C122/B122)</f>
        <v>0.12462908011869436</v>
      </c>
      <c r="E122" s="6"/>
      <c r="F122" s="7"/>
      <c r="G122" s="6"/>
      <c r="H122" s="7"/>
    </row>
    <row r="123" spans="1:8" s="5" customFormat="1" ht="24.9" customHeight="1" x14ac:dyDescent="0.3">
      <c r="A123" s="15" t="s">
        <v>73</v>
      </c>
      <c r="B123" s="13">
        <v>352</v>
      </c>
      <c r="C123" s="6">
        <v>63</v>
      </c>
      <c r="D123" s="7">
        <f t="shared" si="21"/>
        <v>0.17897727272727273</v>
      </c>
      <c r="E123" s="6"/>
      <c r="F123" s="7"/>
      <c r="G123" s="6"/>
      <c r="H123" s="7"/>
    </row>
    <row r="124" spans="1:8" s="5" customFormat="1" ht="24.9" customHeight="1" x14ac:dyDescent="0.3">
      <c r="A124" s="15" t="s">
        <v>116</v>
      </c>
      <c r="B124" s="13">
        <v>938</v>
      </c>
      <c r="C124" s="6">
        <v>100</v>
      </c>
      <c r="D124" s="7">
        <f t="shared" si="21"/>
        <v>0.10660980810234541</v>
      </c>
      <c r="E124" s="6">
        <v>252</v>
      </c>
      <c r="F124" s="7">
        <f>SUM(E124/B124)</f>
        <v>0.26865671641791045</v>
      </c>
      <c r="G124" s="6">
        <v>17</v>
      </c>
      <c r="H124" s="7">
        <f>SUM(G124/E124)</f>
        <v>6.7460317460317457E-2</v>
      </c>
    </row>
    <row r="125" spans="1:8" s="5" customFormat="1" ht="24.9" customHeight="1" x14ac:dyDescent="0.3">
      <c r="A125" s="15" t="s">
        <v>80</v>
      </c>
      <c r="B125" s="13">
        <v>484</v>
      </c>
      <c r="C125" s="6">
        <v>100</v>
      </c>
      <c r="D125" s="7">
        <f t="shared" si="21"/>
        <v>0.20661157024793389</v>
      </c>
      <c r="E125" s="6">
        <v>85</v>
      </c>
      <c r="F125" s="7">
        <f>SUM(E125/B125)</f>
        <v>0.1756198347107438</v>
      </c>
      <c r="G125" s="6">
        <v>25</v>
      </c>
      <c r="H125" s="7">
        <f>SUM(G125/E125)</f>
        <v>0.29411764705882354</v>
      </c>
    </row>
    <row r="126" spans="1:8" s="5" customFormat="1" ht="24.9" customHeight="1" x14ac:dyDescent="0.3">
      <c r="A126" s="15" t="s">
        <v>15</v>
      </c>
      <c r="B126" s="13">
        <v>777</v>
      </c>
      <c r="C126" s="6">
        <v>103</v>
      </c>
      <c r="D126" s="7">
        <f t="shared" si="21"/>
        <v>0.13256113256113256</v>
      </c>
      <c r="E126" s="6"/>
      <c r="F126" s="7"/>
      <c r="G126" s="6"/>
      <c r="H126" s="7"/>
    </row>
    <row r="127" spans="1:8" s="5" customFormat="1" ht="24.9" customHeight="1" x14ac:dyDescent="0.3">
      <c r="A127" s="15" t="s">
        <v>196</v>
      </c>
      <c r="B127" s="13">
        <v>2294</v>
      </c>
      <c r="C127" s="6"/>
      <c r="D127" s="7"/>
      <c r="E127" s="6">
        <v>488</v>
      </c>
      <c r="F127" s="7">
        <f t="shared" ref="F127" si="22">SUM(E127/B127)</f>
        <v>0.21272885789014823</v>
      </c>
      <c r="G127" s="6">
        <v>30</v>
      </c>
      <c r="H127" s="7">
        <f t="shared" ref="H127" si="23">SUM(G127/E127)</f>
        <v>6.1475409836065573E-2</v>
      </c>
    </row>
    <row r="128" spans="1:8" s="5" customFormat="1" ht="24.9" customHeight="1" x14ac:dyDescent="0.3">
      <c r="A128" s="15" t="s">
        <v>68</v>
      </c>
      <c r="B128" s="13">
        <v>1113</v>
      </c>
      <c r="C128" s="6">
        <v>92</v>
      </c>
      <c r="D128" s="7">
        <f t="shared" si="21"/>
        <v>8.2659478885893978E-2</v>
      </c>
      <c r="E128" s="6">
        <v>317</v>
      </c>
      <c r="F128" s="7">
        <f>SUM(E128/B128)</f>
        <v>0.28481581311769993</v>
      </c>
      <c r="G128" s="6">
        <v>27</v>
      </c>
      <c r="H128" s="7">
        <f>SUM(G128/E128)</f>
        <v>8.5173501577287064E-2</v>
      </c>
    </row>
    <row r="129" spans="1:8" s="5" customFormat="1" ht="24.9" customHeight="1" x14ac:dyDescent="0.3">
      <c r="A129" s="15" t="s">
        <v>157</v>
      </c>
      <c r="B129" s="13">
        <v>1841</v>
      </c>
      <c r="C129" s="6">
        <v>65</v>
      </c>
      <c r="D129" s="7">
        <f t="shared" si="21"/>
        <v>3.5306898424769147E-2</v>
      </c>
      <c r="E129" s="6">
        <v>281</v>
      </c>
      <c r="F129" s="7">
        <f>SUM(E129/B129)</f>
        <v>0.15263443780554048</v>
      </c>
      <c r="G129" s="6">
        <v>16</v>
      </c>
      <c r="H129" s="7">
        <f>SUM(G129/E129)</f>
        <v>5.6939501779359428E-2</v>
      </c>
    </row>
    <row r="130" spans="1:8" s="5" customFormat="1" ht="24.9" customHeight="1" x14ac:dyDescent="0.3">
      <c r="A130" s="15" t="s">
        <v>34</v>
      </c>
      <c r="B130" s="13">
        <v>3087</v>
      </c>
      <c r="C130" s="6"/>
      <c r="D130" s="7"/>
      <c r="E130" s="6">
        <v>670</v>
      </c>
      <c r="F130" s="7">
        <f>SUM(E130/B130)</f>
        <v>0.21703919663103335</v>
      </c>
      <c r="G130" s="6">
        <v>93</v>
      </c>
      <c r="H130" s="7">
        <f>SUM(G130/E130)</f>
        <v>0.13880597014925372</v>
      </c>
    </row>
    <row r="131" spans="1:8" s="5" customFormat="1" ht="24.9" customHeight="1" x14ac:dyDescent="0.3">
      <c r="A131" s="15" t="s">
        <v>106</v>
      </c>
      <c r="B131" s="13">
        <v>483</v>
      </c>
      <c r="C131" s="6">
        <v>75</v>
      </c>
      <c r="D131" s="7">
        <f>SUM(C131/B131)</f>
        <v>0.15527950310559005</v>
      </c>
      <c r="E131" s="6"/>
      <c r="F131" s="7"/>
      <c r="G131" s="6"/>
      <c r="H131" s="7"/>
    </row>
    <row r="132" spans="1:8" s="5" customFormat="1" ht="24.9" customHeight="1" x14ac:dyDescent="0.3">
      <c r="A132" s="15" t="s">
        <v>53</v>
      </c>
      <c r="B132" s="13">
        <v>500</v>
      </c>
      <c r="C132" s="6"/>
      <c r="D132" s="7"/>
      <c r="E132" s="6">
        <v>149</v>
      </c>
      <c r="F132" s="7">
        <f>SUM(E132/B132)</f>
        <v>0.29799999999999999</v>
      </c>
      <c r="G132" s="6">
        <v>13</v>
      </c>
      <c r="H132" s="7">
        <f t="shared" ref="H132:H155" si="24">SUM(G132/E132)</f>
        <v>8.7248322147651006E-2</v>
      </c>
    </row>
    <row r="133" spans="1:8" s="5" customFormat="1" ht="24.9" customHeight="1" x14ac:dyDescent="0.3">
      <c r="A133" s="15" t="s">
        <v>67</v>
      </c>
      <c r="B133" s="13">
        <v>1498</v>
      </c>
      <c r="C133" s="6"/>
      <c r="D133" s="7"/>
      <c r="E133" s="6">
        <v>294</v>
      </c>
      <c r="F133" s="7">
        <f>SUM(E133/B133)</f>
        <v>0.19626168224299065</v>
      </c>
      <c r="G133" s="6">
        <v>72</v>
      </c>
      <c r="H133" s="7">
        <f t="shared" si="24"/>
        <v>0.24489795918367346</v>
      </c>
    </row>
    <row r="134" spans="1:8" s="5" customFormat="1" ht="24.9" customHeight="1" x14ac:dyDescent="0.3">
      <c r="A134" s="15" t="s">
        <v>75</v>
      </c>
      <c r="B134" s="13">
        <v>3121</v>
      </c>
      <c r="C134" s="6">
        <v>185</v>
      </c>
      <c r="D134" s="7">
        <f>SUM(C134/B134)</f>
        <v>5.9275873117590513E-2</v>
      </c>
      <c r="E134" s="6">
        <v>921</v>
      </c>
      <c r="F134" s="7">
        <f>SUM(E134/B134)</f>
        <v>0.29509772508811277</v>
      </c>
      <c r="G134" s="6">
        <v>185</v>
      </c>
      <c r="H134" s="7">
        <f t="shared" si="24"/>
        <v>0.20086862106406081</v>
      </c>
    </row>
    <row r="135" spans="1:8" s="5" customFormat="1" ht="24.9" customHeight="1" x14ac:dyDescent="0.3">
      <c r="A135" s="15" t="s">
        <v>197</v>
      </c>
      <c r="B135" s="13">
        <v>415</v>
      </c>
      <c r="C135" s="6">
        <v>81</v>
      </c>
      <c r="D135" s="7">
        <f>SUM(C135/B135)</f>
        <v>0.19518072289156627</v>
      </c>
      <c r="E135" s="6">
        <v>119</v>
      </c>
      <c r="F135" s="7">
        <f>SUM(E135/B135)</f>
        <v>0.28674698795180725</v>
      </c>
      <c r="G135" s="6">
        <v>1</v>
      </c>
      <c r="H135" s="7">
        <f t="shared" si="24"/>
        <v>8.4033613445378148E-3</v>
      </c>
    </row>
    <row r="136" spans="1:8" s="5" customFormat="1" ht="24.9" customHeight="1" x14ac:dyDescent="0.3">
      <c r="A136" s="15" t="s">
        <v>61</v>
      </c>
      <c r="B136" s="13">
        <v>873</v>
      </c>
      <c r="C136" s="6">
        <v>136</v>
      </c>
      <c r="D136" s="7">
        <f>SUM(C136/B136)</f>
        <v>0.15578465063001146</v>
      </c>
      <c r="E136" s="6"/>
      <c r="F136" s="7"/>
      <c r="G136" s="6"/>
      <c r="H136" s="7"/>
    </row>
    <row r="137" spans="1:8" s="5" customFormat="1" ht="24.9" customHeight="1" x14ac:dyDescent="0.3">
      <c r="A137" s="15" t="s">
        <v>79</v>
      </c>
      <c r="B137" s="13">
        <v>3480</v>
      </c>
      <c r="C137" s="6">
        <v>113</v>
      </c>
      <c r="D137" s="7">
        <f>SUM(C137/B137)</f>
        <v>3.247126436781609E-2</v>
      </c>
      <c r="E137" s="6">
        <v>551</v>
      </c>
      <c r="F137" s="7">
        <f t="shared" ref="F137:F155" si="25">SUM(E137/B137)</f>
        <v>0.15833333333333333</v>
      </c>
      <c r="G137" s="6">
        <v>32</v>
      </c>
      <c r="H137" s="7">
        <f t="shared" si="24"/>
        <v>5.8076225045372049E-2</v>
      </c>
    </row>
    <row r="138" spans="1:8" s="5" customFormat="1" ht="24.9" customHeight="1" x14ac:dyDescent="0.3">
      <c r="A138" s="15" t="s">
        <v>124</v>
      </c>
      <c r="B138" s="13">
        <v>552</v>
      </c>
      <c r="C138" s="6">
        <v>72</v>
      </c>
      <c r="D138" s="7">
        <f>SUM(C138/B138)</f>
        <v>0.13043478260869565</v>
      </c>
      <c r="E138" s="6">
        <v>189</v>
      </c>
      <c r="F138" s="7">
        <f t="shared" si="25"/>
        <v>0.34239130434782611</v>
      </c>
      <c r="G138" s="6">
        <v>21</v>
      </c>
      <c r="H138" s="7">
        <f t="shared" si="24"/>
        <v>0.1111111111111111</v>
      </c>
    </row>
    <row r="139" spans="1:8" s="5" customFormat="1" ht="24.9" customHeight="1" x14ac:dyDescent="0.3">
      <c r="A139" s="15" t="s">
        <v>198</v>
      </c>
      <c r="B139" s="13">
        <v>2166</v>
      </c>
      <c r="C139" s="6"/>
      <c r="D139" s="7"/>
      <c r="E139" s="6">
        <v>410</v>
      </c>
      <c r="F139" s="7">
        <f t="shared" si="25"/>
        <v>0.18928901200369344</v>
      </c>
      <c r="G139" s="6">
        <v>46</v>
      </c>
      <c r="H139" s="7">
        <f t="shared" si="24"/>
        <v>0.11219512195121951</v>
      </c>
    </row>
    <row r="140" spans="1:8" s="5" customFormat="1" ht="24.9" customHeight="1" x14ac:dyDescent="0.3">
      <c r="A140" s="15" t="s">
        <v>125</v>
      </c>
      <c r="B140" s="13">
        <v>511</v>
      </c>
      <c r="C140" s="6"/>
      <c r="D140" s="7"/>
      <c r="E140" s="6">
        <v>221</v>
      </c>
      <c r="F140" s="7">
        <f t="shared" si="25"/>
        <v>0.43248532289628178</v>
      </c>
      <c r="G140" s="6">
        <v>46</v>
      </c>
      <c r="H140" s="7">
        <f t="shared" si="24"/>
        <v>0.20814479638009051</v>
      </c>
    </row>
    <row r="141" spans="1:8" s="5" customFormat="1" ht="24.9" customHeight="1" x14ac:dyDescent="0.3">
      <c r="A141" s="15" t="s">
        <v>136</v>
      </c>
      <c r="B141" s="13">
        <v>2014</v>
      </c>
      <c r="C141" s="6"/>
      <c r="D141" s="7"/>
      <c r="E141" s="6">
        <v>884</v>
      </c>
      <c r="F141" s="7">
        <f t="shared" si="25"/>
        <v>0.43892750744786496</v>
      </c>
      <c r="G141" s="6">
        <v>25</v>
      </c>
      <c r="H141" s="7">
        <f t="shared" si="24"/>
        <v>2.828054298642534E-2</v>
      </c>
    </row>
    <row r="142" spans="1:8" s="5" customFormat="1" ht="24.9" customHeight="1" x14ac:dyDescent="0.3">
      <c r="A142" s="15" t="s">
        <v>59</v>
      </c>
      <c r="B142" s="13">
        <v>893</v>
      </c>
      <c r="C142" s="6">
        <v>106</v>
      </c>
      <c r="D142" s="7">
        <f>SUM(C142/B142)</f>
        <v>0.11870100783874581</v>
      </c>
      <c r="E142" s="6"/>
      <c r="F142" s="7"/>
      <c r="G142" s="6"/>
      <c r="H142" s="7"/>
    </row>
    <row r="143" spans="1:8" s="5" customFormat="1" ht="24.9" customHeight="1" x14ac:dyDescent="0.3">
      <c r="A143" s="15" t="s">
        <v>155</v>
      </c>
      <c r="B143" s="13">
        <v>902</v>
      </c>
      <c r="C143" s="6"/>
      <c r="D143" s="7"/>
      <c r="E143" s="6">
        <v>165</v>
      </c>
      <c r="F143" s="7">
        <f t="shared" si="25"/>
        <v>0.18292682926829268</v>
      </c>
      <c r="G143" s="6">
        <v>7</v>
      </c>
      <c r="H143" s="7">
        <f t="shared" si="24"/>
        <v>4.2424242424242427E-2</v>
      </c>
    </row>
    <row r="144" spans="1:8" s="5" customFormat="1" ht="24.9" customHeight="1" x14ac:dyDescent="0.3">
      <c r="A144" s="15" t="s">
        <v>156</v>
      </c>
      <c r="B144" s="13">
        <v>285</v>
      </c>
      <c r="C144" s="6">
        <v>50</v>
      </c>
      <c r="D144" s="7">
        <f>SUM(C144/B144)</f>
        <v>0.17543859649122806</v>
      </c>
      <c r="E144" s="6">
        <v>73</v>
      </c>
      <c r="F144" s="7">
        <f t="shared" si="25"/>
        <v>0.256140350877193</v>
      </c>
      <c r="G144" s="6">
        <v>5</v>
      </c>
      <c r="H144" s="7">
        <f t="shared" si="24"/>
        <v>6.8493150684931503E-2</v>
      </c>
    </row>
    <row r="145" spans="1:8" s="5" customFormat="1" ht="24.9" customHeight="1" x14ac:dyDescent="0.3">
      <c r="A145" s="15" t="s">
        <v>199</v>
      </c>
      <c r="B145" s="13">
        <v>81</v>
      </c>
      <c r="C145" s="6">
        <v>23</v>
      </c>
      <c r="D145" s="7">
        <f>SUM(C145/B145)</f>
        <v>0.2839506172839506</v>
      </c>
      <c r="E145" s="6">
        <v>28</v>
      </c>
      <c r="F145" s="7">
        <f t="shared" si="25"/>
        <v>0.34567901234567899</v>
      </c>
      <c r="G145" s="6">
        <v>6</v>
      </c>
      <c r="H145" s="7">
        <f t="shared" si="24"/>
        <v>0.21428571428571427</v>
      </c>
    </row>
    <row r="146" spans="1:8" s="5" customFormat="1" ht="24.9" customHeight="1" x14ac:dyDescent="0.3">
      <c r="A146" s="15" t="s">
        <v>117</v>
      </c>
      <c r="B146" s="13">
        <v>2582</v>
      </c>
      <c r="C146" s="6"/>
      <c r="D146" s="7"/>
      <c r="E146" s="6">
        <v>907</v>
      </c>
      <c r="F146" s="7">
        <f t="shared" si="25"/>
        <v>0.35127807900852054</v>
      </c>
      <c r="G146" s="6">
        <v>96</v>
      </c>
      <c r="H146" s="7">
        <f t="shared" si="24"/>
        <v>0.10584343991179714</v>
      </c>
    </row>
    <row r="147" spans="1:8" s="5" customFormat="1" ht="24.9" customHeight="1" x14ac:dyDescent="0.3">
      <c r="A147" s="15" t="s">
        <v>118</v>
      </c>
      <c r="B147" s="13">
        <v>1071</v>
      </c>
      <c r="C147" s="6">
        <v>124</v>
      </c>
      <c r="D147" s="7">
        <f>SUM(C147/B147)</f>
        <v>0.1157796451914099</v>
      </c>
      <c r="E147" s="6">
        <v>285</v>
      </c>
      <c r="F147" s="7">
        <f t="shared" si="25"/>
        <v>0.26610644257703081</v>
      </c>
      <c r="G147" s="6">
        <v>19</v>
      </c>
      <c r="H147" s="7">
        <f t="shared" si="24"/>
        <v>6.6666666666666666E-2</v>
      </c>
    </row>
    <row r="148" spans="1:8" s="5" customFormat="1" ht="24.9" customHeight="1" x14ac:dyDescent="0.3">
      <c r="A148" s="15" t="s">
        <v>137</v>
      </c>
      <c r="B148" s="13">
        <v>445</v>
      </c>
      <c r="C148" s="6">
        <v>96</v>
      </c>
      <c r="D148" s="7">
        <f>SUM(C148/B148)</f>
        <v>0.21573033707865169</v>
      </c>
      <c r="E148" s="6"/>
      <c r="F148" s="7"/>
      <c r="G148" s="6"/>
      <c r="H148" s="7"/>
    </row>
    <row r="149" spans="1:8" s="5" customFormat="1" ht="24.9" customHeight="1" x14ac:dyDescent="0.3">
      <c r="A149" s="15" t="s">
        <v>200</v>
      </c>
      <c r="B149" s="13">
        <v>1522</v>
      </c>
      <c r="C149" s="6">
        <v>85</v>
      </c>
      <c r="D149" s="7">
        <f>SUM(C149/B149)</f>
        <v>5.5847568988173453E-2</v>
      </c>
      <c r="E149" s="6">
        <v>162</v>
      </c>
      <c r="F149" s="7">
        <f t="shared" si="25"/>
        <v>0.10643889618922471</v>
      </c>
      <c r="G149" s="6">
        <v>7</v>
      </c>
      <c r="H149" s="7">
        <f t="shared" si="24"/>
        <v>4.3209876543209874E-2</v>
      </c>
    </row>
    <row r="150" spans="1:8" s="5" customFormat="1" ht="24.9" customHeight="1" x14ac:dyDescent="0.3">
      <c r="A150" s="15" t="s">
        <v>119</v>
      </c>
      <c r="B150" s="13">
        <v>867</v>
      </c>
      <c r="C150" s="6"/>
      <c r="D150" s="7"/>
      <c r="E150" s="6">
        <v>242</v>
      </c>
      <c r="F150" s="7">
        <f t="shared" si="25"/>
        <v>0.27912341407151098</v>
      </c>
      <c r="G150" s="6"/>
      <c r="H150" s="7"/>
    </row>
    <row r="151" spans="1:8" s="5" customFormat="1" ht="24.9" customHeight="1" x14ac:dyDescent="0.3">
      <c r="A151" s="15" t="s">
        <v>201</v>
      </c>
      <c r="B151" s="13">
        <v>14120</v>
      </c>
      <c r="C151" s="6"/>
      <c r="D151" s="7"/>
      <c r="E151" s="6">
        <v>3582</v>
      </c>
      <c r="F151" s="7">
        <f t="shared" si="25"/>
        <v>0.25368271954674221</v>
      </c>
      <c r="G151" s="6">
        <v>757</v>
      </c>
      <c r="H151" s="7">
        <f t="shared" si="24"/>
        <v>0.21133445002791737</v>
      </c>
    </row>
    <row r="152" spans="1:8" s="5" customFormat="1" ht="24.9" customHeight="1" x14ac:dyDescent="0.3">
      <c r="A152" s="15" t="s">
        <v>29</v>
      </c>
      <c r="B152" s="13">
        <v>1450</v>
      </c>
      <c r="C152" s="6">
        <v>75</v>
      </c>
      <c r="D152" s="7">
        <f>SUM(C152/B152)</f>
        <v>5.1724137931034482E-2</v>
      </c>
      <c r="E152" s="6">
        <v>515</v>
      </c>
      <c r="F152" s="7">
        <f t="shared" si="25"/>
        <v>0.35517241379310344</v>
      </c>
      <c r="G152" s="6">
        <v>70</v>
      </c>
      <c r="H152" s="7">
        <f t="shared" si="24"/>
        <v>0.13592233009708737</v>
      </c>
    </row>
    <row r="153" spans="1:8" s="5" customFormat="1" ht="24.9" customHeight="1" x14ac:dyDescent="0.3">
      <c r="A153" s="15" t="s">
        <v>81</v>
      </c>
      <c r="B153" s="13">
        <v>6938</v>
      </c>
      <c r="C153" s="6"/>
      <c r="D153" s="7"/>
      <c r="E153" s="6">
        <v>1360</v>
      </c>
      <c r="F153" s="7">
        <f t="shared" si="25"/>
        <v>0.19602190833093111</v>
      </c>
      <c r="G153" s="6">
        <v>194</v>
      </c>
      <c r="H153" s="7">
        <f t="shared" si="24"/>
        <v>0.1426470588235294</v>
      </c>
    </row>
    <row r="154" spans="1:8" s="5" customFormat="1" ht="24.9" customHeight="1" x14ac:dyDescent="0.3">
      <c r="A154" s="15" t="s">
        <v>138</v>
      </c>
      <c r="B154" s="13">
        <v>4461</v>
      </c>
      <c r="C154" s="6"/>
      <c r="D154" s="7"/>
      <c r="E154" s="6">
        <v>945</v>
      </c>
      <c r="F154" s="7">
        <f t="shared" si="25"/>
        <v>0.21183591123066578</v>
      </c>
      <c r="G154" s="6">
        <v>170</v>
      </c>
      <c r="H154" s="7">
        <f t="shared" si="24"/>
        <v>0.17989417989417988</v>
      </c>
    </row>
    <row r="155" spans="1:8" s="5" customFormat="1" ht="24.9" customHeight="1" x14ac:dyDescent="0.3">
      <c r="A155" s="15" t="s">
        <v>66</v>
      </c>
      <c r="B155" s="13">
        <v>4735</v>
      </c>
      <c r="C155" s="6"/>
      <c r="D155" s="7"/>
      <c r="E155" s="6">
        <v>652</v>
      </c>
      <c r="F155" s="7">
        <f t="shared" si="25"/>
        <v>0.13769799366420274</v>
      </c>
      <c r="G155" s="6">
        <v>40</v>
      </c>
      <c r="H155" s="7">
        <f t="shared" si="24"/>
        <v>6.1349693251533742E-2</v>
      </c>
    </row>
    <row r="156" spans="1:8" s="5" customFormat="1" ht="24.9" customHeight="1" x14ac:dyDescent="0.3">
      <c r="A156" s="15" t="s">
        <v>120</v>
      </c>
      <c r="B156" s="13">
        <v>4466</v>
      </c>
      <c r="C156" s="6"/>
      <c r="D156" s="7"/>
      <c r="E156" s="6">
        <v>993</v>
      </c>
      <c r="F156" s="7">
        <f>SUM(E156/B156)</f>
        <v>0.22234661889834303</v>
      </c>
      <c r="G156" s="6">
        <v>161</v>
      </c>
      <c r="H156" s="7">
        <f>SUM(G156/E156)</f>
        <v>0.162134944612286</v>
      </c>
    </row>
    <row r="157" spans="1:8" s="5" customFormat="1" ht="24.9" customHeight="1" x14ac:dyDescent="0.3">
      <c r="A157" s="15" t="s">
        <v>121</v>
      </c>
      <c r="B157" s="13">
        <v>143</v>
      </c>
      <c r="C157" s="6">
        <v>20</v>
      </c>
      <c r="D157" s="7">
        <f t="shared" ref="D157:D169" si="26">SUM(C157/B157)</f>
        <v>0.13986013986013987</v>
      </c>
      <c r="E157" s="6"/>
      <c r="F157" s="7"/>
      <c r="G157" s="6"/>
      <c r="H157" s="7"/>
    </row>
    <row r="158" spans="1:8" s="5" customFormat="1" ht="24.9" customHeight="1" x14ac:dyDescent="0.3">
      <c r="A158" s="15" t="s">
        <v>83</v>
      </c>
      <c r="B158" s="13">
        <v>1347</v>
      </c>
      <c r="C158" s="6">
        <v>150</v>
      </c>
      <c r="D158" s="7">
        <f t="shared" si="26"/>
        <v>0.111358574610245</v>
      </c>
      <c r="E158" s="6">
        <v>391</v>
      </c>
      <c r="F158" s="7">
        <f>SUM(E158/B158)</f>
        <v>0.29027468448403859</v>
      </c>
      <c r="G158" s="6">
        <v>52</v>
      </c>
      <c r="H158" s="7">
        <f>SUM(G158/E158)</f>
        <v>0.13299232736572891</v>
      </c>
    </row>
    <row r="159" spans="1:8" s="5" customFormat="1" ht="24.9" customHeight="1" x14ac:dyDescent="0.3">
      <c r="A159" s="15" t="s">
        <v>8</v>
      </c>
      <c r="B159" s="13">
        <v>546</v>
      </c>
      <c r="C159" s="6">
        <v>75</v>
      </c>
      <c r="D159" s="7">
        <f t="shared" si="26"/>
        <v>0.13736263736263737</v>
      </c>
      <c r="E159" s="6"/>
      <c r="F159" s="7"/>
      <c r="G159" s="6"/>
      <c r="H159" s="7"/>
    </row>
    <row r="160" spans="1:8" s="5" customFormat="1" ht="24.9" customHeight="1" x14ac:dyDescent="0.3">
      <c r="A160" s="15" t="s">
        <v>202</v>
      </c>
      <c r="B160" s="13">
        <v>4222</v>
      </c>
      <c r="C160" s="6">
        <v>250</v>
      </c>
      <c r="D160" s="7">
        <f>SUM(C160/B160)</f>
        <v>5.9213642823306489E-2</v>
      </c>
      <c r="E160" s="6">
        <v>1200</v>
      </c>
      <c r="F160" s="7">
        <f t="shared" ref="F160:F164" si="27">SUM(E160/B160)</f>
        <v>0.28422548555187116</v>
      </c>
      <c r="G160" s="6">
        <v>253</v>
      </c>
      <c r="H160" s="7">
        <f t="shared" ref="H160:H164" si="28">SUM(G160/E160)</f>
        <v>0.21083333333333334</v>
      </c>
    </row>
    <row r="161" spans="1:8" s="5" customFormat="1" ht="24.9" customHeight="1" x14ac:dyDescent="0.3">
      <c r="A161" s="15" t="s">
        <v>168</v>
      </c>
      <c r="B161" s="13">
        <v>929</v>
      </c>
      <c r="C161" s="6">
        <v>186</v>
      </c>
      <c r="D161" s="7">
        <f t="shared" si="26"/>
        <v>0.20021528525296017</v>
      </c>
      <c r="E161" s="6"/>
      <c r="F161" s="7"/>
      <c r="G161" s="6"/>
      <c r="H161" s="7"/>
    </row>
    <row r="162" spans="1:8" s="5" customFormat="1" ht="24.9" customHeight="1" x14ac:dyDescent="0.3">
      <c r="A162" s="15" t="s">
        <v>87</v>
      </c>
      <c r="B162" s="13">
        <v>177</v>
      </c>
      <c r="C162" s="6">
        <v>34</v>
      </c>
      <c r="D162" s="7">
        <f t="shared" si="26"/>
        <v>0.19209039548022599</v>
      </c>
      <c r="E162" s="6"/>
      <c r="F162" s="7"/>
      <c r="G162" s="6"/>
      <c r="H162" s="7"/>
    </row>
    <row r="163" spans="1:8" s="5" customFormat="1" ht="24.9" customHeight="1" x14ac:dyDescent="0.3">
      <c r="A163" s="15" t="s">
        <v>203</v>
      </c>
      <c r="B163" s="13">
        <v>63</v>
      </c>
      <c r="C163" s="6">
        <v>60</v>
      </c>
      <c r="D163" s="7">
        <f t="shared" si="26"/>
        <v>0.95238095238095233</v>
      </c>
      <c r="E163" s="6"/>
      <c r="F163" s="7"/>
      <c r="G163" s="6"/>
      <c r="H163" s="7"/>
    </row>
    <row r="164" spans="1:8" s="5" customFormat="1" ht="24.9" customHeight="1" x14ac:dyDescent="0.3">
      <c r="A164" s="15" t="s">
        <v>42</v>
      </c>
      <c r="B164" s="13">
        <v>2176</v>
      </c>
      <c r="C164" s="6">
        <v>210</v>
      </c>
      <c r="D164" s="7">
        <f t="shared" si="26"/>
        <v>9.6507352941176475E-2</v>
      </c>
      <c r="E164" s="6">
        <v>696</v>
      </c>
      <c r="F164" s="7">
        <f t="shared" si="27"/>
        <v>0.31985294117647056</v>
      </c>
      <c r="G164" s="6">
        <v>45</v>
      </c>
      <c r="H164" s="7">
        <f t="shared" si="28"/>
        <v>6.4655172413793108E-2</v>
      </c>
    </row>
    <row r="165" spans="1:8" s="5" customFormat="1" ht="24.9" customHeight="1" x14ac:dyDescent="0.3">
      <c r="A165" s="15" t="s">
        <v>22</v>
      </c>
      <c r="B165" s="13">
        <v>420</v>
      </c>
      <c r="C165" s="6">
        <v>67</v>
      </c>
      <c r="D165" s="7">
        <f t="shared" si="26"/>
        <v>0.15952380952380951</v>
      </c>
      <c r="E165" s="6">
        <v>110</v>
      </c>
      <c r="F165" s="7">
        <f>SUM(E165/B165)</f>
        <v>0.26190476190476192</v>
      </c>
      <c r="G165" s="6">
        <v>10</v>
      </c>
      <c r="H165" s="7">
        <f>SUM(G165/E165)</f>
        <v>9.0909090909090912E-2</v>
      </c>
    </row>
    <row r="166" spans="1:8" s="5" customFormat="1" ht="24.9" customHeight="1" x14ac:dyDescent="0.3">
      <c r="A166" s="15" t="s">
        <v>122</v>
      </c>
      <c r="B166" s="13">
        <v>803</v>
      </c>
      <c r="C166" s="6">
        <v>115</v>
      </c>
      <c r="D166" s="7">
        <f t="shared" si="26"/>
        <v>0.1432129514321295</v>
      </c>
      <c r="E166" s="6"/>
      <c r="F166" s="7"/>
      <c r="G166" s="6"/>
      <c r="H166" s="7"/>
    </row>
    <row r="167" spans="1:8" s="5" customFormat="1" ht="24.9" customHeight="1" x14ac:dyDescent="0.3">
      <c r="A167" s="15" t="s">
        <v>74</v>
      </c>
      <c r="B167" s="13">
        <v>976</v>
      </c>
      <c r="C167" s="6">
        <v>133</v>
      </c>
      <c r="D167" s="7">
        <f t="shared" si="26"/>
        <v>0.13627049180327869</v>
      </c>
      <c r="E167" s="6"/>
      <c r="F167" s="7"/>
      <c r="G167" s="6"/>
      <c r="H167" s="7"/>
    </row>
    <row r="168" spans="1:8" s="5" customFormat="1" ht="24.9" customHeight="1" x14ac:dyDescent="0.3">
      <c r="A168" s="15" t="s">
        <v>204</v>
      </c>
      <c r="B168" s="13">
        <v>1024</v>
      </c>
      <c r="C168" s="6">
        <v>72</v>
      </c>
      <c r="D168" s="7">
        <f t="shared" si="26"/>
        <v>7.03125E-2</v>
      </c>
      <c r="E168" s="6"/>
      <c r="F168" s="7"/>
      <c r="G168" s="6"/>
      <c r="H168" s="7"/>
    </row>
    <row r="169" spans="1:8" s="5" customFormat="1" ht="24.9" customHeight="1" x14ac:dyDescent="0.3">
      <c r="A169" s="15" t="s">
        <v>69</v>
      </c>
      <c r="B169" s="13">
        <v>2437</v>
      </c>
      <c r="C169" s="6">
        <v>154</v>
      </c>
      <c r="D169" s="7">
        <f t="shared" si="26"/>
        <v>6.3192449733278616E-2</v>
      </c>
      <c r="E169" s="6">
        <v>651</v>
      </c>
      <c r="F169" s="7">
        <f>SUM(E169/B169)</f>
        <v>0.26713171932704144</v>
      </c>
      <c r="G169" s="6">
        <v>69</v>
      </c>
      <c r="H169" s="7">
        <f>SUM(G169/E169)</f>
        <v>0.10599078341013825</v>
      </c>
    </row>
    <row r="170" spans="1:8" s="5" customFormat="1" ht="24.9" customHeight="1" x14ac:dyDescent="0.3">
      <c r="A170" s="15" t="s">
        <v>205</v>
      </c>
      <c r="B170" s="13">
        <v>1740</v>
      </c>
      <c r="C170" s="6"/>
      <c r="D170" s="7"/>
      <c r="E170" s="6">
        <v>546</v>
      </c>
      <c r="F170" s="7">
        <f>SUM(E170/B170)</f>
        <v>0.31379310344827588</v>
      </c>
      <c r="G170" s="6">
        <v>28</v>
      </c>
      <c r="H170" s="7">
        <f>SUM(G170/E170)</f>
        <v>5.128205128205128E-2</v>
      </c>
    </row>
    <row r="171" spans="1:8" s="5" customFormat="1" ht="24.9" customHeight="1" x14ac:dyDescent="0.3">
      <c r="A171" s="15" t="s">
        <v>146</v>
      </c>
      <c r="B171" s="13">
        <v>1813</v>
      </c>
      <c r="C171" s="6">
        <v>220</v>
      </c>
      <c r="D171" s="7">
        <f>SUM(C171/B171)</f>
        <v>0.12134583563154992</v>
      </c>
      <c r="E171" s="6">
        <v>514</v>
      </c>
      <c r="F171" s="7">
        <f>SUM(E171/B171)</f>
        <v>0.28350799779371205</v>
      </c>
      <c r="G171" s="6"/>
      <c r="H171" s="7">
        <f t="shared" ref="H171:H173" si="29">SUM(G171/E171)</f>
        <v>0</v>
      </c>
    </row>
    <row r="172" spans="1:8" s="5" customFormat="1" ht="24.9" customHeight="1" x14ac:dyDescent="0.3">
      <c r="A172" s="15" t="s">
        <v>206</v>
      </c>
      <c r="B172" s="13">
        <v>504</v>
      </c>
      <c r="C172" s="6">
        <v>49</v>
      </c>
      <c r="D172" s="7">
        <f>SUM(C172/B172)</f>
        <v>9.7222222222222224E-2</v>
      </c>
      <c r="E172" s="6">
        <v>87</v>
      </c>
      <c r="F172" s="7">
        <f t="shared" ref="F172:F173" si="30">SUM(E172/B172)</f>
        <v>0.17261904761904762</v>
      </c>
      <c r="G172" s="6">
        <v>4</v>
      </c>
      <c r="H172" s="7">
        <f t="shared" si="29"/>
        <v>4.5977011494252873E-2</v>
      </c>
    </row>
    <row r="173" spans="1:8" s="5" customFormat="1" ht="24.9" customHeight="1" x14ac:dyDescent="0.3">
      <c r="A173" s="15" t="s">
        <v>207</v>
      </c>
      <c r="B173" s="13">
        <v>84</v>
      </c>
      <c r="C173" s="6"/>
      <c r="D173" s="7"/>
      <c r="E173" s="6">
        <v>78</v>
      </c>
      <c r="F173" s="7">
        <f t="shared" si="30"/>
        <v>0.9285714285714286</v>
      </c>
      <c r="G173" s="6">
        <v>34</v>
      </c>
      <c r="H173" s="7">
        <f t="shared" si="29"/>
        <v>0.4358974358974359</v>
      </c>
    </row>
    <row r="174" spans="1:8" s="5" customFormat="1" ht="24.9" customHeight="1" x14ac:dyDescent="0.3">
      <c r="A174" s="15" t="s">
        <v>24</v>
      </c>
      <c r="B174" s="13">
        <v>688</v>
      </c>
      <c r="C174" s="6">
        <v>80</v>
      </c>
      <c r="D174" s="7">
        <f t="shared" ref="D174:D179" si="31">SUM(C174/B174)</f>
        <v>0.11627906976744186</v>
      </c>
      <c r="E174" s="6">
        <v>190</v>
      </c>
      <c r="F174" s="7">
        <f>SUM(E174/B174)</f>
        <v>0.27616279069767441</v>
      </c>
      <c r="G174" s="6">
        <v>35</v>
      </c>
      <c r="H174" s="7">
        <f>SUM(G174/E174)</f>
        <v>0.18421052631578946</v>
      </c>
    </row>
    <row r="175" spans="1:8" s="5" customFormat="1" ht="24.9" customHeight="1" x14ac:dyDescent="0.3">
      <c r="A175" s="15" t="s">
        <v>57</v>
      </c>
      <c r="B175" s="13">
        <v>59</v>
      </c>
      <c r="C175" s="6">
        <v>50</v>
      </c>
      <c r="D175" s="7">
        <f t="shared" si="31"/>
        <v>0.84745762711864403</v>
      </c>
      <c r="E175" s="6">
        <v>284</v>
      </c>
      <c r="F175" s="7">
        <f>SUM(E175/B175)</f>
        <v>4.8135593220338979</v>
      </c>
      <c r="G175" s="6">
        <v>19</v>
      </c>
      <c r="H175" s="7">
        <f>SUM(G175/E175)</f>
        <v>6.6901408450704219E-2</v>
      </c>
    </row>
    <row r="176" spans="1:8" s="5" customFormat="1" ht="24.9" customHeight="1" x14ac:dyDescent="0.3">
      <c r="A176" s="15" t="s">
        <v>208</v>
      </c>
      <c r="B176" s="13">
        <v>42</v>
      </c>
      <c r="C176" s="6">
        <v>42</v>
      </c>
      <c r="D176" s="7">
        <f t="shared" si="31"/>
        <v>1</v>
      </c>
      <c r="E176" s="6"/>
      <c r="F176" s="7"/>
      <c r="G176" s="6"/>
      <c r="H176" s="7"/>
    </row>
    <row r="177" spans="1:8" s="5" customFormat="1" ht="24.9" customHeight="1" x14ac:dyDescent="0.3">
      <c r="A177" s="15" t="s">
        <v>11</v>
      </c>
      <c r="B177" s="13">
        <v>328</v>
      </c>
      <c r="C177" s="6">
        <v>58</v>
      </c>
      <c r="D177" s="7">
        <f t="shared" si="31"/>
        <v>0.17682926829268292</v>
      </c>
      <c r="E177" s="6"/>
      <c r="F177" s="7"/>
      <c r="G177" s="6"/>
      <c r="H177" s="7"/>
    </row>
    <row r="178" spans="1:8" s="5" customFormat="1" ht="24.9" customHeight="1" x14ac:dyDescent="0.3">
      <c r="A178" s="15" t="s">
        <v>82</v>
      </c>
      <c r="B178" s="13">
        <v>1412</v>
      </c>
      <c r="C178" s="6">
        <v>140</v>
      </c>
      <c r="D178" s="7">
        <f t="shared" si="31"/>
        <v>9.9150141643059492E-2</v>
      </c>
      <c r="E178" s="6">
        <v>264</v>
      </c>
      <c r="F178" s="7">
        <f t="shared" ref="F178" si="32">SUM(E178/B178)</f>
        <v>0.18696883852691218</v>
      </c>
      <c r="G178" s="6">
        <v>16</v>
      </c>
      <c r="H178" s="7">
        <f t="shared" ref="H178" si="33">SUM(G178/E178)</f>
        <v>6.0606060606060608E-2</v>
      </c>
    </row>
    <row r="179" spans="1:8" s="5" customFormat="1" ht="24.9" customHeight="1" x14ac:dyDescent="0.3">
      <c r="A179" s="15" t="s">
        <v>1</v>
      </c>
      <c r="B179" s="13">
        <v>825</v>
      </c>
      <c r="C179" s="6">
        <v>45</v>
      </c>
      <c r="D179" s="7">
        <f t="shared" si="31"/>
        <v>5.4545454545454543E-2</v>
      </c>
      <c r="E179" s="6">
        <v>290</v>
      </c>
      <c r="F179" s="7">
        <f>SUM(E179/B179)</f>
        <v>0.3515151515151515</v>
      </c>
      <c r="G179" s="6">
        <v>25</v>
      </c>
      <c r="H179" s="7">
        <f>SUM(G179/E179)</f>
        <v>8.6206896551724144E-2</v>
      </c>
    </row>
    <row r="180" spans="1:8" s="5" customFormat="1" ht="24.9" customHeight="1" x14ac:dyDescent="0.3">
      <c r="A180" s="15" t="s">
        <v>107</v>
      </c>
      <c r="B180" s="13">
        <v>4117</v>
      </c>
      <c r="C180" s="6"/>
      <c r="D180" s="7"/>
      <c r="E180" s="6">
        <v>727</v>
      </c>
      <c r="F180" s="7">
        <f>SUM(E180/B180)</f>
        <v>0.17658489191158611</v>
      </c>
      <c r="G180" s="6">
        <v>80</v>
      </c>
      <c r="H180" s="7">
        <f>SUM(G180/E180)</f>
        <v>0.11004126547455295</v>
      </c>
    </row>
    <row r="181" spans="1:8" s="5" customFormat="1" ht="24.9" customHeight="1" x14ac:dyDescent="0.3">
      <c r="A181" s="15" t="s">
        <v>26</v>
      </c>
      <c r="B181" s="13">
        <v>988</v>
      </c>
      <c r="C181" s="6">
        <v>81</v>
      </c>
      <c r="D181" s="7">
        <f>SUM(C181/B181)</f>
        <v>8.1983805668016191E-2</v>
      </c>
      <c r="E181" s="6">
        <v>129</v>
      </c>
      <c r="F181" s="7">
        <f>SUM(E181/B181)</f>
        <v>0.13056680161943321</v>
      </c>
      <c r="G181" s="6">
        <v>7</v>
      </c>
      <c r="H181" s="7">
        <f>SUM(G181/E181)</f>
        <v>5.4263565891472867E-2</v>
      </c>
    </row>
    <row r="182" spans="1:8" s="5" customFormat="1" ht="24.9" customHeight="1" x14ac:dyDescent="0.3">
      <c r="A182" s="15" t="s">
        <v>46</v>
      </c>
      <c r="B182" s="13">
        <v>579</v>
      </c>
      <c r="C182" s="6">
        <v>60</v>
      </c>
      <c r="D182" s="7">
        <f>SUM(C182/B182)</f>
        <v>0.10362694300518134</v>
      </c>
      <c r="E182" s="6"/>
      <c r="F182" s="7"/>
      <c r="G182" s="6"/>
      <c r="H182" s="7"/>
    </row>
    <row r="183" spans="1:8" s="5" customFormat="1" ht="24.9" customHeight="1" x14ac:dyDescent="0.3">
      <c r="A183" s="15" t="s">
        <v>209</v>
      </c>
      <c r="B183" s="13">
        <v>2214</v>
      </c>
      <c r="C183" s="6"/>
      <c r="D183" s="7"/>
      <c r="E183" s="6">
        <v>489</v>
      </c>
      <c r="F183" s="7">
        <f t="shared" ref="F183:F184" si="34">SUM(E183/B183)</f>
        <v>0.22086720867208673</v>
      </c>
      <c r="G183" s="6">
        <v>58</v>
      </c>
      <c r="H183" s="7">
        <f t="shared" ref="H183:H184" si="35">SUM(G183/E183)</f>
        <v>0.11860940695296524</v>
      </c>
    </row>
    <row r="184" spans="1:8" s="5" customFormat="1" ht="24.9" customHeight="1" x14ac:dyDescent="0.3">
      <c r="A184" s="15" t="s">
        <v>210</v>
      </c>
      <c r="B184" s="13">
        <v>941</v>
      </c>
      <c r="C184" s="6"/>
      <c r="D184" s="7"/>
      <c r="E184" s="6">
        <v>108</v>
      </c>
      <c r="F184" s="7">
        <f t="shared" si="34"/>
        <v>0.11477151965993623</v>
      </c>
      <c r="G184" s="6">
        <v>68</v>
      </c>
      <c r="H184" s="7">
        <f t="shared" si="35"/>
        <v>0.62962962962962965</v>
      </c>
    </row>
    <row r="185" spans="1:8" s="5" customFormat="1" ht="24.9" customHeight="1" x14ac:dyDescent="0.3">
      <c r="A185" s="15" t="s">
        <v>77</v>
      </c>
      <c r="B185" s="13">
        <v>477</v>
      </c>
      <c r="C185" s="6"/>
      <c r="D185" s="7"/>
      <c r="E185" s="6">
        <v>102</v>
      </c>
      <c r="F185" s="7">
        <f>SUM(E185/B185)</f>
        <v>0.21383647798742139</v>
      </c>
      <c r="G185" s="6">
        <v>7</v>
      </c>
      <c r="H185" s="7">
        <f>SUM(G185/E185)</f>
        <v>6.8627450980392163E-2</v>
      </c>
    </row>
    <row r="186" spans="1:8" s="5" customFormat="1" ht="24.9" customHeight="1" x14ac:dyDescent="0.3">
      <c r="A186" s="15" t="s">
        <v>139</v>
      </c>
      <c r="B186" s="13">
        <v>1639</v>
      </c>
      <c r="C186" s="6"/>
      <c r="D186" s="7"/>
      <c r="E186" s="6">
        <v>320</v>
      </c>
      <c r="F186" s="7">
        <f>SUM(E186/B186)</f>
        <v>0.19524100061012814</v>
      </c>
      <c r="G186" s="6"/>
      <c r="H186" s="7">
        <f>SUM(G186/E186)</f>
        <v>0</v>
      </c>
    </row>
    <row r="187" spans="1:8" s="5" customFormat="1" ht="24.9" customHeight="1" x14ac:dyDescent="0.3">
      <c r="A187" s="15" t="s">
        <v>4</v>
      </c>
      <c r="B187" s="13">
        <v>848</v>
      </c>
      <c r="C187" s="6">
        <v>145</v>
      </c>
      <c r="D187" s="7">
        <f t="shared" ref="D187:D196" si="36">SUM(C187/B187)</f>
        <v>0.17099056603773585</v>
      </c>
      <c r="E187" s="6"/>
      <c r="F187" s="7"/>
      <c r="G187" s="6"/>
      <c r="H187" s="7"/>
    </row>
    <row r="188" spans="1:8" s="5" customFormat="1" ht="24.9" customHeight="1" x14ac:dyDescent="0.3">
      <c r="A188" s="15" t="s">
        <v>89</v>
      </c>
      <c r="B188" s="13">
        <v>412</v>
      </c>
      <c r="C188" s="6">
        <v>57</v>
      </c>
      <c r="D188" s="7">
        <f t="shared" si="36"/>
        <v>0.13834951456310679</v>
      </c>
      <c r="E188" s="6">
        <v>78</v>
      </c>
      <c r="F188" s="7">
        <f>SUM(E188/B188)</f>
        <v>0.18932038834951456</v>
      </c>
      <c r="G188" s="6">
        <v>4</v>
      </c>
      <c r="H188" s="7">
        <f>SUM(G188/E188)</f>
        <v>5.128205128205128E-2</v>
      </c>
    </row>
    <row r="189" spans="1:8" s="5" customFormat="1" ht="24.9" customHeight="1" x14ac:dyDescent="0.3">
      <c r="A189" s="15" t="s">
        <v>99</v>
      </c>
      <c r="B189" s="13">
        <v>1619</v>
      </c>
      <c r="C189" s="6">
        <v>76</v>
      </c>
      <c r="D189" s="7">
        <f t="shared" si="36"/>
        <v>4.6942557134033357E-2</v>
      </c>
      <c r="E189" s="6">
        <v>305</v>
      </c>
      <c r="F189" s="7">
        <f>SUM(E189/B189)</f>
        <v>0.18838789376158122</v>
      </c>
      <c r="G189" s="6">
        <v>28</v>
      </c>
      <c r="H189" s="7">
        <f>SUM(G189/E189)</f>
        <v>9.1803278688524587E-2</v>
      </c>
    </row>
    <row r="190" spans="1:8" s="5" customFormat="1" ht="24.9" customHeight="1" x14ac:dyDescent="0.3">
      <c r="A190" s="15" t="s">
        <v>3</v>
      </c>
      <c r="B190" s="13">
        <v>2345</v>
      </c>
      <c r="C190" s="6"/>
      <c r="D190" s="7"/>
      <c r="E190" s="6">
        <v>606</v>
      </c>
      <c r="F190" s="7">
        <f>SUM(E190/B190)</f>
        <v>0.25842217484008528</v>
      </c>
      <c r="G190" s="6">
        <v>56</v>
      </c>
      <c r="H190" s="7">
        <f>SUM(G190/E190)</f>
        <v>9.2409240924092403E-2</v>
      </c>
    </row>
    <row r="191" spans="1:8" s="5" customFormat="1" ht="24.9" customHeight="1" x14ac:dyDescent="0.3">
      <c r="A191" s="15" t="s">
        <v>158</v>
      </c>
      <c r="B191" s="13">
        <v>290</v>
      </c>
      <c r="C191" s="6">
        <v>70</v>
      </c>
      <c r="D191" s="7">
        <f t="shared" si="36"/>
        <v>0.2413793103448276</v>
      </c>
      <c r="E191" s="6">
        <v>72</v>
      </c>
      <c r="F191" s="7">
        <f>SUM(E191/B191)</f>
        <v>0.24827586206896551</v>
      </c>
      <c r="G191" s="6"/>
      <c r="H191" s="7"/>
    </row>
    <row r="192" spans="1:8" s="5" customFormat="1" ht="24.9" customHeight="1" x14ac:dyDescent="0.3">
      <c r="A192" s="15" t="s">
        <v>211</v>
      </c>
      <c r="B192" s="13">
        <v>500</v>
      </c>
      <c r="C192" s="6">
        <v>75</v>
      </c>
      <c r="D192" s="7">
        <f t="shared" si="36"/>
        <v>0.15</v>
      </c>
      <c r="E192" s="6"/>
      <c r="F192" s="7"/>
      <c r="G192" s="6"/>
      <c r="H192" s="7"/>
    </row>
    <row r="193" spans="1:8" s="5" customFormat="1" ht="24.9" customHeight="1" x14ac:dyDescent="0.3">
      <c r="A193" s="15" t="s">
        <v>212</v>
      </c>
      <c r="B193" s="13">
        <v>579</v>
      </c>
      <c r="C193" s="6">
        <v>58</v>
      </c>
      <c r="D193" s="7">
        <f t="shared" si="36"/>
        <v>0.1001727115716753</v>
      </c>
      <c r="E193" s="6">
        <v>110</v>
      </c>
      <c r="F193" s="7">
        <f t="shared" ref="F193" si="37">SUM(E193/B193)</f>
        <v>0.18998272884283246</v>
      </c>
      <c r="G193" s="6">
        <v>2</v>
      </c>
      <c r="H193" s="7"/>
    </row>
    <row r="194" spans="1:8" s="5" customFormat="1" ht="24.9" customHeight="1" x14ac:dyDescent="0.3">
      <c r="A194" s="15" t="s">
        <v>213</v>
      </c>
      <c r="B194" s="13">
        <v>278</v>
      </c>
      <c r="C194" s="6">
        <v>54</v>
      </c>
      <c r="D194" s="7">
        <f t="shared" si="36"/>
        <v>0.19424460431654678</v>
      </c>
      <c r="E194" s="6"/>
      <c r="F194" s="7"/>
      <c r="G194" s="6"/>
      <c r="H194" s="7"/>
    </row>
    <row r="195" spans="1:8" s="5" customFormat="1" ht="24.9" customHeight="1" x14ac:dyDescent="0.3">
      <c r="A195" s="15" t="s">
        <v>165</v>
      </c>
      <c r="B195" s="13">
        <v>892</v>
      </c>
      <c r="C195" s="6">
        <v>103</v>
      </c>
      <c r="D195" s="7">
        <f t="shared" si="36"/>
        <v>0.11547085201793722</v>
      </c>
      <c r="E195" s="6">
        <v>247</v>
      </c>
      <c r="F195" s="7">
        <f t="shared" ref="F195:F203" si="38">SUM(E195/B195)</f>
        <v>0.27690582959641258</v>
      </c>
      <c r="G195" s="6">
        <v>8</v>
      </c>
      <c r="H195" s="7">
        <f t="shared" ref="H195:H203" si="39">SUM(G195/E195)</f>
        <v>3.2388663967611336E-2</v>
      </c>
    </row>
    <row r="196" spans="1:8" s="5" customFormat="1" ht="24.9" customHeight="1" x14ac:dyDescent="0.3">
      <c r="A196" s="15" t="s">
        <v>76</v>
      </c>
      <c r="B196" s="13">
        <v>2142</v>
      </c>
      <c r="C196" s="6">
        <v>83</v>
      </c>
      <c r="D196" s="7">
        <f t="shared" si="36"/>
        <v>3.8748832866479926E-2</v>
      </c>
      <c r="E196" s="6">
        <v>414</v>
      </c>
      <c r="F196" s="7">
        <f t="shared" si="38"/>
        <v>0.19327731092436976</v>
      </c>
      <c r="G196" s="6">
        <v>45</v>
      </c>
      <c r="H196" s="7">
        <f t="shared" si="39"/>
        <v>0.10869565217391304</v>
      </c>
    </row>
    <row r="197" spans="1:8" s="5" customFormat="1" ht="24.9" customHeight="1" x14ac:dyDescent="0.3">
      <c r="A197" s="15" t="s">
        <v>16</v>
      </c>
      <c r="B197" s="13">
        <v>8893</v>
      </c>
      <c r="C197" s="6"/>
      <c r="D197" s="7"/>
      <c r="E197" s="6">
        <v>1257</v>
      </c>
      <c r="F197" s="7">
        <f t="shared" si="38"/>
        <v>0.14134712695378387</v>
      </c>
      <c r="G197" s="6">
        <v>149</v>
      </c>
      <c r="H197" s="7">
        <f t="shared" si="39"/>
        <v>0.11853619729514718</v>
      </c>
    </row>
    <row r="198" spans="1:8" s="5" customFormat="1" ht="24.9" customHeight="1" x14ac:dyDescent="0.3">
      <c r="A198" s="15" t="s">
        <v>123</v>
      </c>
      <c r="B198" s="13">
        <v>1558</v>
      </c>
      <c r="C198" s="6">
        <v>77</v>
      </c>
      <c r="D198" s="7">
        <f>SUM(C198/B198)</f>
        <v>4.9422336328626443E-2</v>
      </c>
      <c r="E198" s="6">
        <v>286</v>
      </c>
      <c r="F198" s="7">
        <f t="shared" si="38"/>
        <v>0.18356867779204109</v>
      </c>
      <c r="G198" s="6">
        <v>32</v>
      </c>
      <c r="H198" s="7">
        <f t="shared" si="39"/>
        <v>0.11188811188811189</v>
      </c>
    </row>
    <row r="199" spans="1:8" s="5" customFormat="1" ht="24.9" customHeight="1" x14ac:dyDescent="0.3">
      <c r="A199" s="15" t="s">
        <v>40</v>
      </c>
      <c r="B199" s="13">
        <v>307</v>
      </c>
      <c r="C199" s="6">
        <v>140</v>
      </c>
      <c r="D199" s="7">
        <f>SUM(C199/B199)</f>
        <v>0.4560260586319218</v>
      </c>
      <c r="E199" s="6"/>
      <c r="F199" s="7"/>
      <c r="G199" s="6"/>
      <c r="H199" s="7"/>
    </row>
    <row r="200" spans="1:8" s="5" customFormat="1" ht="24.9" customHeight="1" x14ac:dyDescent="0.3">
      <c r="A200" s="15" t="s">
        <v>214</v>
      </c>
      <c r="B200" s="13">
        <v>3289</v>
      </c>
      <c r="C200" s="6"/>
      <c r="D200" s="7"/>
      <c r="E200" s="6">
        <v>432</v>
      </c>
      <c r="F200" s="7">
        <f t="shared" si="38"/>
        <v>0.1313469139556096</v>
      </c>
      <c r="G200" s="6">
        <v>22</v>
      </c>
      <c r="H200" s="7"/>
    </row>
    <row r="201" spans="1:8" s="5" customFormat="1" ht="24.9" customHeight="1" x14ac:dyDescent="0.3">
      <c r="A201" s="15" t="s">
        <v>55</v>
      </c>
      <c r="B201" s="13">
        <v>682</v>
      </c>
      <c r="C201" s="6">
        <v>100</v>
      </c>
      <c r="D201" s="7">
        <f>SUM(C201/B201)</f>
        <v>0.1466275659824047</v>
      </c>
      <c r="E201" s="6">
        <v>114</v>
      </c>
      <c r="F201" s="7">
        <f t="shared" si="38"/>
        <v>0.16715542521994134</v>
      </c>
      <c r="G201" s="6">
        <v>3</v>
      </c>
      <c r="H201" s="7">
        <f t="shared" si="39"/>
        <v>2.6315789473684209E-2</v>
      </c>
    </row>
    <row r="202" spans="1:8" s="5" customFormat="1" ht="24.9" customHeight="1" x14ac:dyDescent="0.3">
      <c r="A202" s="15" t="s">
        <v>111</v>
      </c>
      <c r="B202" s="13">
        <v>5228</v>
      </c>
      <c r="C202" s="6"/>
      <c r="D202" s="7"/>
      <c r="E202" s="6">
        <v>867</v>
      </c>
      <c r="F202" s="7">
        <f t="shared" si="38"/>
        <v>0.16583779648048966</v>
      </c>
      <c r="G202" s="6">
        <v>67</v>
      </c>
      <c r="H202" s="7">
        <f t="shared" si="39"/>
        <v>7.7277970011534025E-2</v>
      </c>
    </row>
    <row r="203" spans="1:8" s="5" customFormat="1" ht="24.9" customHeight="1" x14ac:dyDescent="0.3">
      <c r="A203" s="15" t="s">
        <v>143</v>
      </c>
      <c r="B203" s="13">
        <v>1096</v>
      </c>
      <c r="C203" s="6">
        <v>93</v>
      </c>
      <c r="D203" s="7">
        <f>SUM(C203/B203)</f>
        <v>8.485401459854014E-2</v>
      </c>
      <c r="E203" s="6">
        <v>233</v>
      </c>
      <c r="F203" s="7">
        <f t="shared" si="38"/>
        <v>0.21259124087591241</v>
      </c>
      <c r="G203" s="6">
        <v>9</v>
      </c>
      <c r="H203" s="7">
        <f t="shared" si="39"/>
        <v>3.8626609442060089E-2</v>
      </c>
    </row>
    <row r="204" spans="1:8" s="5" customFormat="1" ht="24.9" customHeight="1" x14ac:dyDescent="0.3">
      <c r="A204" s="15" t="s">
        <v>166</v>
      </c>
      <c r="B204" s="13">
        <v>707</v>
      </c>
      <c r="C204" s="6">
        <v>100</v>
      </c>
      <c r="D204" s="7">
        <f>SUM(C204/B204)</f>
        <v>0.14144271570014144</v>
      </c>
      <c r="E204" s="6"/>
      <c r="F204" s="7"/>
      <c r="G204" s="6"/>
      <c r="H204" s="7"/>
    </row>
    <row r="205" spans="1:8" s="5" customFormat="1" ht="24.9" customHeight="1" x14ac:dyDescent="0.3">
      <c r="A205" s="15" t="s">
        <v>163</v>
      </c>
      <c r="B205" s="13">
        <v>276</v>
      </c>
      <c r="C205" s="6"/>
      <c r="D205" s="7"/>
      <c r="E205" s="6">
        <v>74</v>
      </c>
      <c r="F205" s="7">
        <f>SUM(E205/B205)</f>
        <v>0.26811594202898553</v>
      </c>
      <c r="G205" s="6">
        <v>8</v>
      </c>
      <c r="H205" s="7">
        <f>SUM(G205/E205)</f>
        <v>0.10810810810810811</v>
      </c>
    </row>
    <row r="206" spans="1:8" s="5" customFormat="1" ht="24.9" customHeight="1" x14ac:dyDescent="0.3">
      <c r="A206" s="16" t="s">
        <v>215</v>
      </c>
      <c r="B206" s="14">
        <v>2918</v>
      </c>
      <c r="C206" s="8"/>
      <c r="D206" s="9"/>
      <c r="E206" s="8">
        <v>673</v>
      </c>
      <c r="F206" s="9">
        <f>SUM(E206/B206)</f>
        <v>0.23063742289239206</v>
      </c>
      <c r="G206" s="8">
        <v>51</v>
      </c>
      <c r="H206" s="9">
        <f>SUM(G206/E206)</f>
        <v>7.5780089153046057E-2</v>
      </c>
    </row>
    <row r="207" spans="1:8" s="5" customFormat="1" ht="24.9" customHeight="1" thickBot="1" x14ac:dyDescent="0.35">
      <c r="A207" s="16" t="s">
        <v>167</v>
      </c>
      <c r="B207" s="14">
        <v>749</v>
      </c>
      <c r="C207" s="8">
        <v>75</v>
      </c>
      <c r="D207" s="9">
        <f>SUM(C207/B207)</f>
        <v>0.10013351134846461</v>
      </c>
      <c r="E207" s="8">
        <v>195</v>
      </c>
      <c r="F207" s="9">
        <f>SUM(E207/B207)</f>
        <v>0.26034712950600802</v>
      </c>
      <c r="G207" s="8">
        <v>10</v>
      </c>
      <c r="H207" s="9">
        <f>SUM(G207/E207)</f>
        <v>5.128205128205128E-2</v>
      </c>
    </row>
    <row r="208" spans="1:8" ht="30" customHeight="1" thickTop="1" thickBot="1" x14ac:dyDescent="0.35">
      <c r="A208" s="10" t="s">
        <v>173</v>
      </c>
      <c r="B208" s="12">
        <v>159177</v>
      </c>
      <c r="C208" s="12">
        <f>SUM(C1:C207)</f>
        <v>13104</v>
      </c>
      <c r="D208" s="11">
        <f>SUM(C208/B208)</f>
        <v>8.2323451252379429E-2</v>
      </c>
      <c r="E208" s="12"/>
      <c r="F208" s="11"/>
      <c r="G208" s="12"/>
      <c r="H208" s="11"/>
    </row>
    <row r="209" spans="1:8" ht="30" customHeight="1" thickTop="1" thickBot="1" x14ac:dyDescent="0.35">
      <c r="A209" s="10" t="s">
        <v>174</v>
      </c>
      <c r="B209" s="12">
        <v>358515</v>
      </c>
      <c r="C209" s="12"/>
      <c r="D209" s="11"/>
      <c r="E209" s="12">
        <f>SUM(E2:E207)</f>
        <v>76232</v>
      </c>
      <c r="F209" s="11">
        <f>SUM(E209/B209)</f>
        <v>0.21263266529991773</v>
      </c>
      <c r="G209" s="12">
        <f>SUM(G2:G207)</f>
        <v>9771</v>
      </c>
      <c r="H209" s="11">
        <f>SUM(G209/E209)</f>
        <v>0.12817451988666176</v>
      </c>
    </row>
    <row r="210" spans="1:8" ht="16.2" thickTop="1" x14ac:dyDescent="0.3"/>
  </sheetData>
  <autoFilter ref="A1:H208"/>
  <phoneticPr fontId="0" type="noConversion"/>
  <pageMargins left="0.7" right="0.7" top="0.75" bottom="0.75" header="0.3" footer="0.3"/>
  <pageSetup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8" sqref="E8:I214"/>
    </sheetView>
  </sheetViews>
  <sheetFormatPr defaultRowHeight="14.4" x14ac:dyDescent="0.3"/>
  <sheetData/>
  <phoneticPr fontId="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DE6UZ2SY5E43-1273115200-262</_dlc_DocId>
    <_dlc_DocIdUrl xmlns="3b005fd8-62d5-4927-a0f9-fdac9185221f">
      <Url>https://outside.vermont.gov/dept/sos/_layouts/15/DocIdRedir.aspx?ID=DE6UZ2SY5E43-1273115200-262</Url>
      <Description>DE6UZ2SY5E43-1273115200-262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EA2DE81-6BB8-4956-9A5D-34C3330AF03C}"/>
</file>

<file path=customXml/itemProps2.xml><?xml version="1.0" encoding="utf-8"?>
<ds:datastoreItem xmlns:ds="http://schemas.openxmlformats.org/officeDocument/2006/customXml" ds:itemID="{EB2FAEEA-FB04-4543-8B2B-14F302C4571E}"/>
</file>

<file path=customXml/itemProps3.xml><?xml version="1.0" encoding="utf-8"?>
<ds:datastoreItem xmlns:ds="http://schemas.openxmlformats.org/officeDocument/2006/customXml" ds:itemID="{01D0B3E3-5C3F-4275-88BA-F3282F18750F}"/>
</file>

<file path=customXml/itemProps4.xml><?xml version="1.0" encoding="utf-8"?>
<ds:datastoreItem xmlns:ds="http://schemas.openxmlformats.org/officeDocument/2006/customXml" ds:itemID="{4E3474D7-25B3-4CED-B0DF-C0D760810E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Vermont Secretary of State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Harrington, Liz</dc:creator>
  <cp:lastModifiedBy>Harrington, Liz</cp:lastModifiedBy>
  <dcterms:created xsi:type="dcterms:W3CDTF">2014-09-05T19:01:34Z</dcterms:created>
  <dcterms:modified xsi:type="dcterms:W3CDTF">2017-04-26T20:00:22Z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2f772cb9-1507-4e1a-b010-5595df09fc96</vt:lpwstr>
  </property>
</Properties>
</file>