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Z:\Sites\business-division-elections\documentLibrary\Town Meeting Information &amp; Survey\2021 Town Meeting\"/>
    </mc:Choice>
  </mc:AlternateContent>
  <xr:revisionPtr revIDLastSave="0" documentId="8_{A2AE73CA-8FC6-4EC4-9AF1-C5B4757164F0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AUSTRALIAN VOTER TURNOUT" sheetId="1" r:id="rId1"/>
    <sheet name="FLOOR VOTER TURNOU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48" i="1" l="1"/>
  <c r="C19" i="4" l="1"/>
  <c r="B19" i="4"/>
  <c r="D13" i="4"/>
  <c r="D11" i="4"/>
  <c r="E148" i="1"/>
  <c r="C148" i="1"/>
  <c r="F113" i="1"/>
  <c r="F90" i="1"/>
  <c r="F91" i="1"/>
  <c r="F42" i="1"/>
  <c r="F43" i="1"/>
  <c r="F48" i="1"/>
  <c r="F79" i="1"/>
  <c r="F83" i="1"/>
  <c r="F84" i="1"/>
  <c r="F69" i="1"/>
  <c r="F67" i="1"/>
  <c r="F59" i="1"/>
  <c r="F119" i="1"/>
  <c r="F27" i="1"/>
  <c r="F28" i="1"/>
  <c r="F12" i="1"/>
  <c r="F7" i="1"/>
  <c r="F8" i="1"/>
  <c r="F9" i="1"/>
  <c r="D12" i="1"/>
  <c r="F134" i="1"/>
  <c r="F129" i="1"/>
  <c r="F130" i="1"/>
  <c r="F131" i="1"/>
  <c r="F137" i="1"/>
  <c r="D109" i="1"/>
  <c r="D113" i="1"/>
  <c r="D74" i="1"/>
  <c r="D67" i="1"/>
  <c r="D63" i="1"/>
  <c r="D59" i="1"/>
  <c r="D56" i="1"/>
  <c r="D51" i="1"/>
  <c r="D52" i="1"/>
  <c r="D48" i="1"/>
  <c r="D42" i="1"/>
  <c r="D43" i="1"/>
  <c r="D38" i="1"/>
  <c r="D27" i="1"/>
  <c r="D89" i="1"/>
  <c r="D90" i="1"/>
  <c r="D91" i="1"/>
  <c r="D134" i="1"/>
  <c r="D128" i="1"/>
  <c r="D129" i="1"/>
  <c r="D130" i="1"/>
  <c r="B148" i="1"/>
  <c r="D148" i="1" s="1"/>
  <c r="D19" i="1"/>
  <c r="D8" i="1"/>
  <c r="D9" i="1"/>
  <c r="D79" i="1"/>
  <c r="D83" i="1"/>
  <c r="D84" i="1"/>
  <c r="D85" i="1"/>
  <c r="D137" i="1"/>
  <c r="F141" i="1"/>
  <c r="F145" i="1"/>
  <c r="F147" i="1"/>
  <c r="D147" i="1"/>
  <c r="D145" i="1"/>
  <c r="D140" i="1"/>
  <c r="D141" i="1"/>
  <c r="D7" i="1"/>
  <c r="D18" i="4"/>
  <c r="D17" i="4"/>
  <c r="D16" i="4"/>
  <c r="D15" i="4"/>
  <c r="D14" i="4"/>
  <c r="D12" i="4"/>
  <c r="D10" i="4"/>
  <c r="D9" i="4"/>
  <c r="D8" i="4"/>
  <c r="D7" i="4"/>
  <c r="D6" i="4"/>
  <c r="D5" i="4"/>
  <c r="D4" i="4"/>
  <c r="D3" i="4"/>
  <c r="D19" i="4" l="1"/>
  <c r="D100" i="1"/>
  <c r="D61" i="1"/>
  <c r="D22" i="1"/>
  <c r="D6" i="1"/>
  <c r="F60" i="1"/>
  <c r="F101" i="1"/>
  <c r="F35" i="1"/>
  <c r="F100" i="1"/>
  <c r="F61" i="1"/>
  <c r="F22" i="1"/>
  <c r="F6" i="1"/>
  <c r="D62" i="1"/>
  <c r="D60" i="1"/>
  <c r="D101" i="1"/>
  <c r="D35" i="1"/>
  <c r="F38" i="1" l="1"/>
  <c r="F128" i="1"/>
  <c r="F74" i="1"/>
  <c r="F85" i="1"/>
  <c r="F52" i="1"/>
  <c r="F118" i="1"/>
  <c r="F63" i="1"/>
  <c r="F64" i="1"/>
  <c r="F89" i="1"/>
  <c r="F56" i="1"/>
  <c r="F51" i="1"/>
  <c r="F47" i="1"/>
  <c r="F21" i="1"/>
  <c r="F94" i="1"/>
  <c r="F98" i="1"/>
  <c r="D94" i="1"/>
  <c r="D47" i="1"/>
  <c r="D21" i="1"/>
  <c r="D98" i="1"/>
  <c r="D18" i="1" l="1"/>
  <c r="D146" i="1"/>
  <c r="D114" i="1" l="1"/>
  <c r="D45" i="1"/>
  <c r="D44" i="1"/>
  <c r="F40" i="1"/>
  <c r="D49" i="1"/>
  <c r="F49" i="1"/>
  <c r="D46" i="1"/>
  <c r="F46" i="1"/>
  <c r="D105" i="1"/>
  <c r="F105" i="1"/>
  <c r="F3" i="1"/>
  <c r="F78" i="1"/>
  <c r="D3" i="1"/>
  <c r="D78" i="1"/>
  <c r="F114" i="1"/>
  <c r="F99" i="1"/>
  <c r="F92" i="1"/>
  <c r="F146" i="1"/>
  <c r="D118" i="1"/>
  <c r="D73" i="1"/>
  <c r="D95" i="1"/>
  <c r="D5" i="1"/>
  <c r="F5" i="1"/>
  <c r="F71" i="1"/>
  <c r="F95" i="1"/>
  <c r="D106" i="1"/>
  <c r="F45" i="1"/>
  <c r="F44" i="1"/>
  <c r="F73" i="1"/>
  <c r="F57" i="1"/>
  <c r="D57" i="1"/>
  <c r="F96" i="1" l="1"/>
  <c r="D96" i="1"/>
  <c r="D111" i="1" l="1"/>
  <c r="D133" i="1"/>
  <c r="D23" i="1"/>
  <c r="D71" i="1"/>
  <c r="D72" i="1"/>
  <c r="D26" i="1"/>
  <c r="D117" i="1"/>
  <c r="D77" i="1"/>
  <c r="D123" i="1"/>
  <c r="D39" i="1"/>
  <c r="D54" i="1"/>
  <c r="D17" i="1"/>
  <c r="D34" i="1"/>
  <c r="D139" i="1"/>
  <c r="D127" i="1"/>
  <c r="D70" i="1"/>
  <c r="D138" i="1"/>
  <c r="D36" i="1"/>
  <c r="D64" i="1"/>
  <c r="D65" i="1"/>
  <c r="D50" i="1"/>
  <c r="D142" i="1"/>
  <c r="D37" i="1"/>
  <c r="D125" i="1"/>
  <c r="D112" i="1"/>
  <c r="D115" i="1"/>
  <c r="D41" i="1"/>
  <c r="D88" i="1"/>
  <c r="D93" i="1"/>
  <c r="D58" i="1"/>
  <c r="D102" i="1"/>
  <c r="D76" i="1"/>
  <c r="D104" i="1"/>
  <c r="D87" i="1"/>
  <c r="D135" i="1"/>
  <c r="D13" i="1"/>
  <c r="D24" i="1"/>
  <c r="D69" i="1"/>
  <c r="D82" i="1"/>
  <c r="D80" i="1"/>
  <c r="D66" i="1"/>
  <c r="D108" i="1"/>
  <c r="D14" i="1"/>
  <c r="D32" i="1"/>
  <c r="D97" i="1"/>
  <c r="D119" i="1"/>
  <c r="D110" i="1"/>
  <c r="D122" i="1"/>
  <c r="D121" i="1"/>
  <c r="D143" i="1"/>
  <c r="D99" i="1"/>
  <c r="D30" i="1"/>
  <c r="D116" i="1"/>
  <c r="D136" i="1"/>
  <c r="D81" i="1"/>
  <c r="D75" i="1"/>
  <c r="D131" i="1"/>
  <c r="D107" i="1"/>
  <c r="D15" i="1"/>
  <c r="D53" i="1"/>
  <c r="D103" i="1"/>
  <c r="D16" i="1"/>
  <c r="D68" i="1"/>
  <c r="D86" i="1"/>
  <c r="D31" i="1"/>
  <c r="D92" i="1"/>
  <c r="D124" i="1"/>
  <c r="D28" i="1"/>
  <c r="D11" i="1"/>
  <c r="D20" i="1"/>
  <c r="D33" i="1"/>
  <c r="D126" i="1"/>
  <c r="D10" i="1"/>
  <c r="D4" i="1"/>
  <c r="D55" i="1"/>
  <c r="D25" i="1"/>
  <c r="D120" i="1"/>
  <c r="D29" i="1"/>
  <c r="D40" i="1"/>
  <c r="D144" i="1"/>
  <c r="F41" i="1"/>
  <c r="F93" i="1"/>
  <c r="F58" i="1"/>
  <c r="F102" i="1"/>
  <c r="F76" i="1"/>
  <c r="F104" i="1"/>
  <c r="F87" i="1"/>
  <c r="F135" i="1"/>
  <c r="F13" i="1"/>
  <c r="F24" i="1"/>
  <c r="F82" i="1"/>
  <c r="F80" i="1"/>
  <c r="F108" i="1"/>
  <c r="F14" i="1"/>
  <c r="F32" i="1"/>
  <c r="F97" i="1"/>
  <c r="F122" i="1"/>
  <c r="F121" i="1"/>
  <c r="F143" i="1"/>
  <c r="F30" i="1"/>
  <c r="F116" i="1"/>
  <c r="F136" i="1"/>
  <c r="F81" i="1"/>
  <c r="F75" i="1"/>
  <c r="F107" i="1"/>
  <c r="F15" i="1"/>
  <c r="F53" i="1"/>
  <c r="F103" i="1"/>
  <c r="F16" i="1"/>
  <c r="F18" i="1"/>
  <c r="F68" i="1"/>
  <c r="F86" i="1"/>
  <c r="F31" i="1"/>
  <c r="F124" i="1"/>
  <c r="F11" i="1"/>
  <c r="F20" i="1"/>
  <c r="F33" i="1"/>
  <c r="F126" i="1"/>
  <c r="F10" i="1"/>
  <c r="F4" i="1"/>
  <c r="F55" i="1"/>
  <c r="F120" i="1"/>
  <c r="F29" i="1"/>
  <c r="F144" i="1"/>
  <c r="F115" i="1"/>
  <c r="F112" i="1"/>
  <c r="F37" i="1"/>
  <c r="F36" i="1"/>
  <c r="F133" i="1"/>
  <c r="F111" i="1"/>
  <c r="F125" i="1" l="1"/>
  <c r="F117" i="1"/>
  <c r="F23" i="1"/>
  <c r="D132" i="1" l="1"/>
  <c r="F132" i="1"/>
  <c r="F72" i="1"/>
  <c r="F26" i="1"/>
  <c r="F123" i="1"/>
  <c r="F39" i="1"/>
  <c r="F54" i="1"/>
  <c r="F17" i="1"/>
  <c r="F34" i="1"/>
  <c r="F139" i="1"/>
  <c r="F127" i="1"/>
  <c r="F70" i="1"/>
  <c r="F138" i="1"/>
  <c r="F65" i="1"/>
  <c r="F50" i="1"/>
  <c r="F142" i="1"/>
</calcChain>
</file>

<file path=xl/sharedStrings.xml><?xml version="1.0" encoding="utf-8"?>
<sst xmlns="http://schemas.openxmlformats.org/spreadsheetml/2006/main" count="470" uniqueCount="173">
  <si>
    <t>Town or City</t>
  </si>
  <si>
    <t xml:space="preserve">Absentee Ballot Turnout (%) </t>
  </si>
  <si>
    <t>FLOOR VOTE TOTAL</t>
  </si>
  <si>
    <t>AUSTRALIAN BALLOT TOTAL</t>
  </si>
  <si>
    <t>ALBANY</t>
  </si>
  <si>
    <t>ARLINGTON</t>
  </si>
  <si>
    <t>BRANDON</t>
  </si>
  <si>
    <t>CANAAN</t>
  </si>
  <si>
    <t>FAIRFAX</t>
  </si>
  <si>
    <t>GRAFTON</t>
  </si>
  <si>
    <t>GROTON</t>
  </si>
  <si>
    <t>HANCOCK</t>
  </si>
  <si>
    <t>HIGHGATE</t>
  </si>
  <si>
    <t>MORETOWN</t>
  </si>
  <si>
    <t>NORTHFIELD</t>
  </si>
  <si>
    <t>READSBORO</t>
  </si>
  <si>
    <t>ROCKINGHAM</t>
  </si>
  <si>
    <t>ROXBURY</t>
  </si>
  <si>
    <t>SUNDERLAND</t>
  </si>
  <si>
    <t>SWANTON</t>
  </si>
  <si>
    <t>WILMINGTON</t>
  </si>
  <si>
    <t>BARRE CITY</t>
  </si>
  <si>
    <t>BARTON</t>
  </si>
  <si>
    <t>BENNINGTON</t>
  </si>
  <si>
    <t>BENSON</t>
  </si>
  <si>
    <t>BERKSHIRE</t>
  </si>
  <si>
    <t>BETHEL</t>
  </si>
  <si>
    <t>BOLTON</t>
  </si>
  <si>
    <t>BRADFORD</t>
  </si>
  <si>
    <t>BRATTLEBORO</t>
  </si>
  <si>
    <t>BRIDGEWATER</t>
  </si>
  <si>
    <t>BRIDPORT</t>
  </si>
  <si>
    <t>BRIGHTON</t>
  </si>
  <si>
    <t>BRISTOL</t>
  </si>
  <si>
    <t>BURLINGTON</t>
  </si>
  <si>
    <t>CABOT</t>
  </si>
  <si>
    <t>CALAIS</t>
  </si>
  <si>
    <t>CASTLETON</t>
  </si>
  <si>
    <t>CHARLOTTE</t>
  </si>
  <si>
    <t>CHELSEA</t>
  </si>
  <si>
    <t>CHESTER</t>
  </si>
  <si>
    <t>CLARENDON</t>
  </si>
  <si>
    <t>CONCORD</t>
  </si>
  <si>
    <t>CORNWALL</t>
  </si>
  <si>
    <t>DERBY</t>
  </si>
  <si>
    <t>EAST MONTPELIER</t>
  </si>
  <si>
    <t>ELMORE</t>
  </si>
  <si>
    <t>FAIRFIELD</t>
  </si>
  <si>
    <t>FAIRLEE</t>
  </si>
  <si>
    <t>FRANKLIN</t>
  </si>
  <si>
    <t>GOSHEN</t>
  </si>
  <si>
    <t>GRANBY</t>
  </si>
  <si>
    <t>GUILDHALL</t>
  </si>
  <si>
    <t>GUILFORD</t>
  </si>
  <si>
    <t>HARTFORD</t>
  </si>
  <si>
    <t>HINESBURG</t>
  </si>
  <si>
    <t>HOLLAND</t>
  </si>
  <si>
    <t>HUBBARDTON</t>
  </si>
  <si>
    <t>HYDE PARK</t>
  </si>
  <si>
    <t>IRASBURG</t>
  </si>
  <si>
    <t>JAY</t>
  </si>
  <si>
    <t>JERICHO</t>
  </si>
  <si>
    <t>KILLINGTON</t>
  </si>
  <si>
    <t>LANDGROVE</t>
  </si>
  <si>
    <t>LINCOLN</t>
  </si>
  <si>
    <t>LOWELL</t>
  </si>
  <si>
    <t>LYNDON</t>
  </si>
  <si>
    <t>MANCHESTER</t>
  </si>
  <si>
    <t>MARLBORO</t>
  </si>
  <si>
    <t>MIDDLEBURY</t>
  </si>
  <si>
    <t>MORRISTOWN</t>
  </si>
  <si>
    <t>MOUNT HOLLY</t>
  </si>
  <si>
    <t>MOUNT TABOR</t>
  </si>
  <si>
    <t>NEW HAVEN</t>
  </si>
  <si>
    <t>NEWBURY</t>
  </si>
  <si>
    <t>NEWFANE</t>
  </si>
  <si>
    <t>NEWPORT CITY</t>
  </si>
  <si>
    <t>NORTH HERO</t>
  </si>
  <si>
    <t>NORTON</t>
  </si>
  <si>
    <t>NORWICH</t>
  </si>
  <si>
    <t>ORWELL</t>
  </si>
  <si>
    <t>PAWLET</t>
  </si>
  <si>
    <t>PERU</t>
  </si>
  <si>
    <t>PITTSFIELD</t>
  </si>
  <si>
    <t>POMFRET</t>
  </si>
  <si>
    <t>POULTNEY</t>
  </si>
  <si>
    <t>PROCTOR</t>
  </si>
  <si>
    <t>RANDOLPH</t>
  </si>
  <si>
    <t>RICHMOND</t>
  </si>
  <si>
    <t>RIPTON</t>
  </si>
  <si>
    <t>ROYALTON</t>
  </si>
  <si>
    <t>RUTLAND TOWN</t>
  </si>
  <si>
    <t>SEARSBURG</t>
  </si>
  <si>
    <t>SHEFFIELD</t>
  </si>
  <si>
    <t>SHELBURNE</t>
  </si>
  <si>
    <t>SHELDON</t>
  </si>
  <si>
    <t>SHOREHAM</t>
  </si>
  <si>
    <t>SOUTH BURLINGTON</t>
  </si>
  <si>
    <t>SOUTH HERO</t>
  </si>
  <si>
    <t>SPRINGFIELD</t>
  </si>
  <si>
    <t>ST. ALBANS CITY</t>
  </si>
  <si>
    <t>STOCKBRIDGE</t>
  </si>
  <si>
    <t>THETFORD</t>
  </si>
  <si>
    <t>TOPSHAM</t>
  </si>
  <si>
    <t>UNDERHILL</t>
  </si>
  <si>
    <t>WALDEN</t>
  </si>
  <si>
    <t>WALLINGFORD</t>
  </si>
  <si>
    <t>WATERBURY</t>
  </si>
  <si>
    <t>WATERFORD</t>
  </si>
  <si>
    <t>WEST WINDSOR</t>
  </si>
  <si>
    <t>WESTFORD</t>
  </si>
  <si>
    <t>WHEELOCK</t>
  </si>
  <si>
    <t>WILLISTON</t>
  </si>
  <si>
    <t>WINDHAM</t>
  </si>
  <si>
    <t>WINDSOR</t>
  </si>
  <si>
    <t>WOLCOTT</t>
  </si>
  <si>
    <t>WOODFORD</t>
  </si>
  <si>
    <t>BLOOMFIELD</t>
  </si>
  <si>
    <t>BROWNINGTON</t>
  </si>
  <si>
    <t>DANBY</t>
  </si>
  <si>
    <t>EAST HAVEN</t>
  </si>
  <si>
    <t>NEWARK</t>
  </si>
  <si>
    <t>SUTTON</t>
  </si>
  <si>
    <t>CHARLESTON</t>
  </si>
  <si>
    <t>WELLS</t>
  </si>
  <si>
    <t>WOODSTOCK</t>
  </si>
  <si>
    <t>COVENTRY</t>
  </si>
  <si>
    <t>ESSEX</t>
  </si>
  <si>
    <t>WEST RUTLAND</t>
  </si>
  <si>
    <t>WILLIAMSTOWN</t>
  </si>
  <si>
    <t>CAVENDISH</t>
  </si>
  <si>
    <t>GRANVILLE</t>
  </si>
  <si>
    <t xml:space="preserve">IRA </t>
  </si>
  <si>
    <t>KIRBY</t>
  </si>
  <si>
    <t xml:space="preserve">READING </t>
  </si>
  <si>
    <t>ROCHESTER</t>
  </si>
  <si>
    <t>STRAFFORD</t>
  </si>
  <si>
    <t>How many voters were on your TM checklist on the date of your Town Meeting?</t>
  </si>
  <si>
    <t>PLAINFIELD</t>
  </si>
  <si>
    <t>GLOVER</t>
  </si>
  <si>
    <t>SAINT ALBANS TOWN</t>
  </si>
  <si>
    <t>DUMMERSTON</t>
  </si>
  <si>
    <t>1,903</t>
  </si>
  <si>
    <t>1,230</t>
  </si>
  <si>
    <t>1,260</t>
  </si>
  <si>
    <t>NO</t>
  </si>
  <si>
    <t>YES</t>
  </si>
  <si>
    <t xml:space="preserve">NO </t>
  </si>
  <si>
    <t xml:space="preserve">2021 ANNUAL MEETING - AUSTRALIAN BALLOT VOTER TURNOUT STATISTICS </t>
  </si>
  <si>
    <t>ANDOVER</t>
  </si>
  <si>
    <t>BERLIN</t>
  </si>
  <si>
    <t>BRAINTREE</t>
  </si>
  <si>
    <t>BURKE</t>
  </si>
  <si>
    <t>CAMBRIDGE</t>
  </si>
  <si>
    <t>FERRISBURGH</t>
  </si>
  <si>
    <t>FLETCHER</t>
  </si>
  <si>
    <t>MIDDLETOWN SPRINGS</t>
  </si>
  <si>
    <t>ORANGE</t>
  </si>
  <si>
    <t>RUTLAND CITY</t>
  </si>
  <si>
    <t>STOWE</t>
  </si>
  <si>
    <t>TOWNSHEND</t>
  </si>
  <si>
    <t>WAITSFIELD</t>
  </si>
  <si>
    <t>WARREN</t>
  </si>
  <si>
    <t>WEATHERSFIELD</t>
  </si>
  <si>
    <t>WESTFIELD</t>
  </si>
  <si>
    <t xml:space="preserve">2021 ANNUAL MEETING -FLOOR VOTER TURNOUT STATISTICS </t>
  </si>
  <si>
    <t>READING</t>
  </si>
  <si>
    <t xml:space="preserve">Did your town use Australian Ballot voting for the first time in 2021 due to COVID-19? (Y/N) </t>
  </si>
  <si>
    <t xml:space="preserve">Was a ballot mailed to every active registered voter? (Y/N) </t>
  </si>
  <si>
    <t>How many voted by absentee ballot?</t>
  </si>
  <si>
    <t>Turnout (%)</t>
  </si>
  <si>
    <t>How many people voted (include absentee ballot)?</t>
  </si>
  <si>
    <t>What was the highest vote count? (your best estimate)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</si>
</sst>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Fill="1" applyAlignment="1"/>
    <xf numFmtId="0" fontId="3" fillId="0" borderId="4" xfId="0" applyFont="1" applyFill="1" applyBorder="1" applyAlignment="1">
      <alignment horizontal="center" vertical="center"/>
    </xf>
    <xf numFmtId="0" fontId="9" fillId="0" borderId="0" xfId="1"/>
    <xf numFmtId="0" fontId="9" fillId="0" borderId="0" xfId="1" applyNumberFormat="1"/>
    <xf numFmtId="2" fontId="2" fillId="0" borderId="0" xfId="0" applyNumberFormat="1" applyFont="1" applyFill="1" applyAlignment="1"/>
    <xf numFmtId="10" fontId="6" fillId="5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10" fontId="6" fillId="3" borderId="3" xfId="0" applyNumberFormat="1" applyFont="1" applyFill="1" applyBorder="1" applyAlignment="1">
      <alignment horizontal="center" vertical="center"/>
    </xf>
    <xf numFmtId="0" fontId="11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0" fontId="6" fillId="5" borderId="2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10" fontId="6" fillId="6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E711E945-EB92-4A03-958A-15CBD04D7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H1"/>
    </sheetView>
  </sheetViews>
  <sheetFormatPr defaultColWidth="8.85546875" defaultRowHeight="15" x14ac:dyDescent="0.25"/>
  <cols>
    <col min="1" max="1" width="34.5703125" style="4" customWidth="1"/>
    <col min="2" max="5" width="26.42578125" style="5" customWidth="1"/>
    <col min="6" max="8" width="26.42578125" style="4" customWidth="1"/>
    <col min="9" max="16384" width="8.85546875" style="4"/>
  </cols>
  <sheetData>
    <row r="1" spans="1:9" s="5" customFormat="1" ht="54" customHeight="1" x14ac:dyDescent="0.25">
      <c r="A1" s="22" t="s">
        <v>148</v>
      </c>
      <c r="B1" s="23"/>
      <c r="C1" s="23"/>
      <c r="D1" s="23"/>
      <c r="E1" s="23"/>
      <c r="F1" s="23"/>
      <c r="G1" s="23"/>
      <c r="H1" s="23"/>
      <c r="I1" s="6"/>
    </row>
    <row r="2" spans="1:9" s="2" customFormat="1" ht="173.1" customHeight="1" x14ac:dyDescent="0.25">
      <c r="A2" s="1" t="s">
        <v>0</v>
      </c>
      <c r="B2" s="1" t="s">
        <v>137</v>
      </c>
      <c r="C2" s="1" t="s">
        <v>171</v>
      </c>
      <c r="D2" s="1" t="s">
        <v>170</v>
      </c>
      <c r="E2" s="1" t="s">
        <v>169</v>
      </c>
      <c r="F2" s="1" t="s">
        <v>1</v>
      </c>
      <c r="G2" s="1" t="s">
        <v>168</v>
      </c>
      <c r="H2" s="1" t="s">
        <v>167</v>
      </c>
    </row>
    <row r="3" spans="1:9" s="5" customFormat="1" ht="24.95" customHeight="1" x14ac:dyDescent="0.25">
      <c r="A3" s="16" t="s">
        <v>4</v>
      </c>
      <c r="B3" s="16">
        <v>677</v>
      </c>
      <c r="C3" s="16">
        <v>172</v>
      </c>
      <c r="D3" s="10">
        <f>SUM(C3/B3)</f>
        <v>0.25406203840472674</v>
      </c>
      <c r="E3" s="16">
        <v>103</v>
      </c>
      <c r="F3" s="10">
        <f>SUM(E3/C3)</f>
        <v>0.59883720930232553</v>
      </c>
      <c r="G3" s="16" t="s">
        <v>145</v>
      </c>
      <c r="H3" s="16" t="s">
        <v>146</v>
      </c>
    </row>
    <row r="4" spans="1:9" s="5" customFormat="1" ht="24.95" customHeight="1" x14ac:dyDescent="0.25">
      <c r="A4" s="16" t="s">
        <v>149</v>
      </c>
      <c r="B4" s="16">
        <v>396</v>
      </c>
      <c r="C4" s="16">
        <v>118</v>
      </c>
      <c r="D4" s="10">
        <f>SUM(C4/B4)</f>
        <v>0.29797979797979796</v>
      </c>
      <c r="E4" s="16">
        <v>12</v>
      </c>
      <c r="F4" s="10">
        <f>SUM(E4/C4)</f>
        <v>0.10169491525423729</v>
      </c>
      <c r="G4" s="16" t="s">
        <v>145</v>
      </c>
      <c r="H4" s="16" t="s">
        <v>145</v>
      </c>
    </row>
    <row r="5" spans="1:9" s="5" customFormat="1" ht="24.95" customHeight="1" x14ac:dyDescent="0.25">
      <c r="A5" s="16" t="s">
        <v>5</v>
      </c>
      <c r="B5" s="16">
        <v>2110</v>
      </c>
      <c r="C5" s="16">
        <v>444</v>
      </c>
      <c r="D5" s="10">
        <f>SUM(C5/B5)</f>
        <v>0.2104265402843602</v>
      </c>
      <c r="E5" s="16">
        <v>197</v>
      </c>
      <c r="F5" s="10">
        <f>SUM(E5/C5)</f>
        <v>0.44369369369369371</v>
      </c>
      <c r="G5" s="16" t="s">
        <v>145</v>
      </c>
      <c r="H5" s="16" t="s">
        <v>146</v>
      </c>
    </row>
    <row r="6" spans="1:9" ht="24.95" customHeight="1" x14ac:dyDescent="0.25">
      <c r="A6" s="16" t="s">
        <v>21</v>
      </c>
      <c r="B6" s="16">
        <v>5657</v>
      </c>
      <c r="C6" s="16">
        <v>1499</v>
      </c>
      <c r="D6" s="10">
        <f>SUM(C6/B6)</f>
        <v>0.26498143892522541</v>
      </c>
      <c r="E6" s="16">
        <v>1086</v>
      </c>
      <c r="F6" s="10">
        <f>SUM(E6/C6)</f>
        <v>0.7244829886591061</v>
      </c>
      <c r="G6" s="16" t="s">
        <v>145</v>
      </c>
      <c r="H6" s="16" t="s">
        <v>145</v>
      </c>
    </row>
    <row r="7" spans="1:9" ht="24.95" customHeight="1" x14ac:dyDescent="0.25">
      <c r="A7" s="16" t="s">
        <v>22</v>
      </c>
      <c r="B7" s="16">
        <v>2090</v>
      </c>
      <c r="C7" s="16">
        <v>197</v>
      </c>
      <c r="D7" s="10">
        <f>SUM(C7/B7)</f>
        <v>9.4258373205741625E-2</v>
      </c>
      <c r="E7" s="16">
        <v>100</v>
      </c>
      <c r="F7" s="10">
        <f t="shared" ref="F7:F9" si="0">SUM(E7/C7)</f>
        <v>0.50761421319796951</v>
      </c>
      <c r="G7" s="16" t="s">
        <v>145</v>
      </c>
      <c r="H7" s="16" t="s">
        <v>145</v>
      </c>
    </row>
    <row r="8" spans="1:9" ht="24.95" customHeight="1" x14ac:dyDescent="0.25">
      <c r="A8" s="16" t="s">
        <v>23</v>
      </c>
      <c r="B8" s="16">
        <v>9737</v>
      </c>
      <c r="C8" s="16">
        <v>1834</v>
      </c>
      <c r="D8" s="10">
        <f t="shared" ref="D8:D9" si="1">SUM(C8/B8)</f>
        <v>0.18835370237239396</v>
      </c>
      <c r="E8" s="16">
        <v>754</v>
      </c>
      <c r="F8" s="10">
        <f t="shared" si="0"/>
        <v>0.41112322791712103</v>
      </c>
      <c r="G8" s="16" t="s">
        <v>145</v>
      </c>
      <c r="H8" s="16" t="s">
        <v>145</v>
      </c>
    </row>
    <row r="9" spans="1:9" ht="24.95" customHeight="1" x14ac:dyDescent="0.25">
      <c r="A9" s="16" t="s">
        <v>24</v>
      </c>
      <c r="B9" s="16">
        <v>763</v>
      </c>
      <c r="C9" s="16">
        <v>184</v>
      </c>
      <c r="D9" s="10">
        <f t="shared" si="1"/>
        <v>0.24115334207077327</v>
      </c>
      <c r="E9" s="16">
        <v>97</v>
      </c>
      <c r="F9" s="10">
        <f t="shared" si="0"/>
        <v>0.52717391304347827</v>
      </c>
      <c r="G9" s="16" t="s">
        <v>145</v>
      </c>
      <c r="H9" s="16" t="s">
        <v>146</v>
      </c>
    </row>
    <row r="10" spans="1:9" ht="24.95" customHeight="1" x14ac:dyDescent="0.25">
      <c r="A10" s="16" t="s">
        <v>25</v>
      </c>
      <c r="B10" s="16">
        <v>1048</v>
      </c>
      <c r="C10" s="16">
        <v>110</v>
      </c>
      <c r="D10" s="10">
        <f t="shared" ref="D10:D41" si="2">SUM(C10/B10)</f>
        <v>0.1049618320610687</v>
      </c>
      <c r="E10" s="16">
        <v>27</v>
      </c>
      <c r="F10" s="10">
        <f t="shared" ref="F10:F18" si="3">SUM(E10/C10)</f>
        <v>0.24545454545454545</v>
      </c>
      <c r="G10" s="16" t="s">
        <v>145</v>
      </c>
      <c r="H10" s="16" t="s">
        <v>145</v>
      </c>
    </row>
    <row r="11" spans="1:9" ht="24.95" customHeight="1" x14ac:dyDescent="0.25">
      <c r="A11" s="16" t="s">
        <v>150</v>
      </c>
      <c r="B11" s="16">
        <v>1981</v>
      </c>
      <c r="C11" s="16">
        <v>794</v>
      </c>
      <c r="D11" s="10">
        <f t="shared" si="2"/>
        <v>0.40080767289247854</v>
      </c>
      <c r="E11" s="16">
        <v>759</v>
      </c>
      <c r="F11" s="10">
        <f t="shared" si="3"/>
        <v>0.95591939546599491</v>
      </c>
      <c r="G11" s="16" t="s">
        <v>146</v>
      </c>
      <c r="H11" s="16" t="s">
        <v>145</v>
      </c>
    </row>
    <row r="12" spans="1:9" ht="24.95" customHeight="1" x14ac:dyDescent="0.25">
      <c r="A12" s="16" t="s">
        <v>26</v>
      </c>
      <c r="B12" s="16">
        <v>1580</v>
      </c>
      <c r="C12" s="16">
        <v>360</v>
      </c>
      <c r="D12" s="10">
        <f t="shared" si="2"/>
        <v>0.22784810126582278</v>
      </c>
      <c r="E12" s="16">
        <v>173</v>
      </c>
      <c r="F12" s="10">
        <f t="shared" si="3"/>
        <v>0.48055555555555557</v>
      </c>
      <c r="G12" s="16" t="s">
        <v>145</v>
      </c>
      <c r="H12" s="16" t="s">
        <v>146</v>
      </c>
    </row>
    <row r="13" spans="1:9" ht="24.95" customHeight="1" x14ac:dyDescent="0.25">
      <c r="A13" s="16" t="s">
        <v>27</v>
      </c>
      <c r="B13" s="16">
        <v>951</v>
      </c>
      <c r="C13" s="16">
        <v>187</v>
      </c>
      <c r="D13" s="10">
        <f t="shared" si="2"/>
        <v>0.19663512092534174</v>
      </c>
      <c r="E13" s="16">
        <v>54</v>
      </c>
      <c r="F13" s="10">
        <f t="shared" si="3"/>
        <v>0.28877005347593582</v>
      </c>
      <c r="G13" s="16" t="s">
        <v>145</v>
      </c>
      <c r="H13" s="16" t="s">
        <v>146</v>
      </c>
    </row>
    <row r="14" spans="1:9" ht="24.95" customHeight="1" x14ac:dyDescent="0.25">
      <c r="A14" s="16" t="s">
        <v>28</v>
      </c>
      <c r="B14" s="16">
        <v>2093</v>
      </c>
      <c r="C14" s="16">
        <v>455</v>
      </c>
      <c r="D14" s="10">
        <f t="shared" si="2"/>
        <v>0.21739130434782608</v>
      </c>
      <c r="E14" s="16">
        <v>114</v>
      </c>
      <c r="F14" s="10">
        <f t="shared" si="3"/>
        <v>0.25054945054945055</v>
      </c>
      <c r="G14" s="16" t="s">
        <v>145</v>
      </c>
      <c r="H14" s="16" t="s">
        <v>145</v>
      </c>
    </row>
    <row r="15" spans="1:9" ht="24.95" customHeight="1" x14ac:dyDescent="0.25">
      <c r="A15" s="16" t="s">
        <v>151</v>
      </c>
      <c r="B15" s="16">
        <v>991</v>
      </c>
      <c r="C15" s="16">
        <v>121</v>
      </c>
      <c r="D15" s="10">
        <f t="shared" si="2"/>
        <v>0.12209889001009082</v>
      </c>
      <c r="E15" s="16">
        <v>53</v>
      </c>
      <c r="F15" s="10">
        <f t="shared" si="3"/>
        <v>0.43801652892561982</v>
      </c>
      <c r="G15" s="16" t="s">
        <v>145</v>
      </c>
      <c r="H15" s="16" t="s">
        <v>146</v>
      </c>
    </row>
    <row r="16" spans="1:9" ht="24.95" customHeight="1" x14ac:dyDescent="0.25">
      <c r="A16" s="16" t="s">
        <v>6</v>
      </c>
      <c r="B16" s="16">
        <v>2927</v>
      </c>
      <c r="C16" s="16">
        <v>1263</v>
      </c>
      <c r="D16" s="10">
        <f t="shared" si="2"/>
        <v>0.43149982917663138</v>
      </c>
      <c r="E16" s="16">
        <v>1165</v>
      </c>
      <c r="F16" s="10">
        <f t="shared" si="3"/>
        <v>0.92240696753760887</v>
      </c>
      <c r="G16" s="16" t="s">
        <v>146</v>
      </c>
      <c r="H16" s="16" t="s">
        <v>145</v>
      </c>
    </row>
    <row r="17" spans="1:8" ht="24.95" customHeight="1" x14ac:dyDescent="0.25">
      <c r="A17" s="16" t="s">
        <v>29</v>
      </c>
      <c r="B17" s="16">
        <v>10052</v>
      </c>
      <c r="C17" s="16" t="s">
        <v>142</v>
      </c>
      <c r="D17" s="10">
        <f t="shared" si="2"/>
        <v>0.18931555909271786</v>
      </c>
      <c r="E17" s="16" t="s">
        <v>144</v>
      </c>
      <c r="F17" s="10">
        <f t="shared" si="3"/>
        <v>0.66211245401996843</v>
      </c>
      <c r="G17" s="16" t="s">
        <v>145</v>
      </c>
      <c r="H17" s="16" t="s">
        <v>145</v>
      </c>
    </row>
    <row r="18" spans="1:8" ht="24.95" customHeight="1" x14ac:dyDescent="0.25">
      <c r="A18" s="16" t="s">
        <v>30</v>
      </c>
      <c r="B18" s="16">
        <v>759</v>
      </c>
      <c r="C18" s="16">
        <v>261</v>
      </c>
      <c r="D18" s="10">
        <f t="shared" si="2"/>
        <v>0.34387351778656128</v>
      </c>
      <c r="E18" s="16">
        <v>175</v>
      </c>
      <c r="F18" s="10">
        <f t="shared" si="3"/>
        <v>0.67049808429118773</v>
      </c>
      <c r="G18" s="16" t="s">
        <v>145</v>
      </c>
      <c r="H18" s="16" t="s">
        <v>146</v>
      </c>
    </row>
    <row r="19" spans="1:8" ht="24.95" customHeight="1" x14ac:dyDescent="0.25">
      <c r="A19" s="16" t="s">
        <v>31</v>
      </c>
      <c r="B19" s="16">
        <v>916</v>
      </c>
      <c r="C19" s="16">
        <v>264</v>
      </c>
      <c r="D19" s="10">
        <f t="shared" si="2"/>
        <v>0.28820960698689957</v>
      </c>
      <c r="E19" s="16"/>
      <c r="F19" s="10"/>
      <c r="G19" s="16" t="s">
        <v>145</v>
      </c>
      <c r="H19" s="16" t="s">
        <v>146</v>
      </c>
    </row>
    <row r="20" spans="1:8" ht="24.95" customHeight="1" x14ac:dyDescent="0.25">
      <c r="A20" s="16" t="s">
        <v>32</v>
      </c>
      <c r="B20" s="16">
        <v>928</v>
      </c>
      <c r="C20" s="16">
        <v>133</v>
      </c>
      <c r="D20" s="10">
        <f t="shared" si="2"/>
        <v>0.14331896551724138</v>
      </c>
      <c r="E20" s="16">
        <v>31</v>
      </c>
      <c r="F20" s="10">
        <f>SUM(E20/C20)</f>
        <v>0.23308270676691728</v>
      </c>
      <c r="G20" s="16" t="s">
        <v>145</v>
      </c>
      <c r="H20" s="16" t="s">
        <v>145</v>
      </c>
    </row>
    <row r="21" spans="1:8" ht="24.95" customHeight="1" x14ac:dyDescent="0.25">
      <c r="A21" s="16" t="s">
        <v>33</v>
      </c>
      <c r="B21" s="16">
        <v>3159</v>
      </c>
      <c r="C21" s="16">
        <v>637</v>
      </c>
      <c r="D21" s="10">
        <f t="shared" si="2"/>
        <v>0.20164609053497942</v>
      </c>
      <c r="E21" s="16">
        <v>290</v>
      </c>
      <c r="F21" s="10">
        <f>SUM(E21/C21)</f>
        <v>0.4552590266875981</v>
      </c>
      <c r="G21" s="16" t="s">
        <v>145</v>
      </c>
      <c r="H21" s="16" t="s">
        <v>146</v>
      </c>
    </row>
    <row r="22" spans="1:8" ht="24.95" customHeight="1" x14ac:dyDescent="0.25">
      <c r="A22" s="16" t="s">
        <v>118</v>
      </c>
      <c r="B22" s="16">
        <v>691</v>
      </c>
      <c r="C22" s="16">
        <v>98</v>
      </c>
      <c r="D22" s="10">
        <f t="shared" si="2"/>
        <v>0.14182344428364688</v>
      </c>
      <c r="E22" s="16">
        <v>39</v>
      </c>
      <c r="F22" s="10">
        <f>SUM(E22/C22)</f>
        <v>0.39795918367346939</v>
      </c>
      <c r="G22" s="16" t="s">
        <v>145</v>
      </c>
      <c r="H22" s="16" t="s">
        <v>146</v>
      </c>
    </row>
    <row r="23" spans="1:8" ht="24.95" customHeight="1" x14ac:dyDescent="0.25">
      <c r="A23" s="16" t="s">
        <v>152</v>
      </c>
      <c r="B23" s="16">
        <v>1221</v>
      </c>
      <c r="C23" s="16">
        <v>271</v>
      </c>
      <c r="D23" s="10">
        <f t="shared" si="2"/>
        <v>0.22194922194922195</v>
      </c>
      <c r="E23" s="16">
        <v>122</v>
      </c>
      <c r="F23" s="10">
        <f>SUM(E23/C23)</f>
        <v>0.45018450184501846</v>
      </c>
      <c r="G23" s="16" t="s">
        <v>145</v>
      </c>
      <c r="H23" s="16" t="s">
        <v>145</v>
      </c>
    </row>
    <row r="24" spans="1:8" ht="24.95" customHeight="1" x14ac:dyDescent="0.25">
      <c r="A24" s="16" t="s">
        <v>34</v>
      </c>
      <c r="B24" s="16">
        <v>33118</v>
      </c>
      <c r="C24" s="16">
        <v>14571</v>
      </c>
      <c r="D24" s="10">
        <f t="shared" si="2"/>
        <v>0.43997222054471891</v>
      </c>
      <c r="E24" s="16">
        <v>11801</v>
      </c>
      <c r="F24" s="10">
        <f>SUM(E24/C24)</f>
        <v>0.80989636950106381</v>
      </c>
      <c r="G24" s="16" t="s">
        <v>146</v>
      </c>
      <c r="H24" s="16" t="s">
        <v>145</v>
      </c>
    </row>
    <row r="25" spans="1:8" ht="24.95" customHeight="1" x14ac:dyDescent="0.25">
      <c r="A25" s="16" t="s">
        <v>35</v>
      </c>
      <c r="B25" s="16">
        <v>1104</v>
      </c>
      <c r="C25" s="16">
        <v>571</v>
      </c>
      <c r="D25" s="10">
        <f t="shared" si="2"/>
        <v>0.51721014492753625</v>
      </c>
      <c r="E25" s="16"/>
      <c r="F25" s="10"/>
      <c r="G25" s="16" t="s">
        <v>146</v>
      </c>
      <c r="H25" s="16" t="s">
        <v>145</v>
      </c>
    </row>
    <row r="26" spans="1:8" ht="24.95" customHeight="1" x14ac:dyDescent="0.25">
      <c r="A26" s="16" t="s">
        <v>36</v>
      </c>
      <c r="B26" s="16">
        <v>1433</v>
      </c>
      <c r="C26" s="16">
        <v>599</v>
      </c>
      <c r="D26" s="10">
        <f t="shared" si="2"/>
        <v>0.41800418702023728</v>
      </c>
      <c r="E26" s="16">
        <v>517</v>
      </c>
      <c r="F26" s="10">
        <f>SUM(E26/C26)</f>
        <v>0.86310517529215358</v>
      </c>
      <c r="G26" s="16" t="s">
        <v>146</v>
      </c>
      <c r="H26" s="16" t="s">
        <v>146</v>
      </c>
    </row>
    <row r="27" spans="1:8" ht="24.95" customHeight="1" x14ac:dyDescent="0.25">
      <c r="A27" s="16" t="s">
        <v>153</v>
      </c>
      <c r="B27" s="16">
        <v>2996</v>
      </c>
      <c r="C27" s="16">
        <v>425</v>
      </c>
      <c r="D27" s="10">
        <f t="shared" si="2"/>
        <v>0.14185580774365822</v>
      </c>
      <c r="E27" s="16">
        <v>209</v>
      </c>
      <c r="F27" s="10">
        <f t="shared" ref="F27:F28" si="4">SUM(E27/C27)</f>
        <v>0.49176470588235294</v>
      </c>
      <c r="G27" s="16" t="s">
        <v>145</v>
      </c>
      <c r="H27" s="16" t="s">
        <v>146</v>
      </c>
    </row>
    <row r="28" spans="1:8" ht="24.95" customHeight="1" x14ac:dyDescent="0.25">
      <c r="A28" s="16" t="s">
        <v>7</v>
      </c>
      <c r="B28" s="16">
        <v>674</v>
      </c>
      <c r="C28" s="16">
        <v>121</v>
      </c>
      <c r="D28" s="10">
        <f t="shared" si="2"/>
        <v>0.17952522255192879</v>
      </c>
      <c r="E28" s="16">
        <v>10</v>
      </c>
      <c r="F28" s="10">
        <f t="shared" si="4"/>
        <v>8.2644628099173556E-2</v>
      </c>
      <c r="G28" s="16" t="s">
        <v>145</v>
      </c>
      <c r="H28" s="16" t="s">
        <v>146</v>
      </c>
    </row>
    <row r="29" spans="1:8" ht="24.95" customHeight="1" x14ac:dyDescent="0.25">
      <c r="A29" s="16" t="s">
        <v>37</v>
      </c>
      <c r="B29" s="16">
        <v>2786</v>
      </c>
      <c r="C29" s="16">
        <v>624</v>
      </c>
      <c r="D29" s="10">
        <f t="shared" si="2"/>
        <v>0.22397702799712849</v>
      </c>
      <c r="E29" s="16">
        <v>246</v>
      </c>
      <c r="F29" s="10">
        <f t="shared" ref="F29:F41" si="5">SUM(E29/C29)</f>
        <v>0.39423076923076922</v>
      </c>
      <c r="G29" s="16" t="s">
        <v>145</v>
      </c>
      <c r="H29" s="16" t="s">
        <v>145</v>
      </c>
    </row>
    <row r="30" spans="1:8" ht="24.95" customHeight="1" x14ac:dyDescent="0.25">
      <c r="A30" s="16" t="s">
        <v>130</v>
      </c>
      <c r="B30" s="16">
        <v>1113</v>
      </c>
      <c r="C30" s="16">
        <v>163</v>
      </c>
      <c r="D30" s="10">
        <f t="shared" si="2"/>
        <v>0.14645103324348607</v>
      </c>
      <c r="E30" s="16">
        <v>42</v>
      </c>
      <c r="F30" s="10">
        <f t="shared" si="5"/>
        <v>0.25766871165644173</v>
      </c>
      <c r="G30" s="16" t="s">
        <v>145</v>
      </c>
      <c r="H30" s="16" t="s">
        <v>146</v>
      </c>
    </row>
    <row r="31" spans="1:8" ht="24.95" customHeight="1" x14ac:dyDescent="0.25">
      <c r="A31" s="16" t="s">
        <v>123</v>
      </c>
      <c r="B31" s="16">
        <v>716</v>
      </c>
      <c r="C31" s="16">
        <v>111</v>
      </c>
      <c r="D31" s="10">
        <f t="shared" si="2"/>
        <v>0.15502793296089384</v>
      </c>
      <c r="E31" s="16">
        <v>55</v>
      </c>
      <c r="F31" s="10">
        <f t="shared" si="5"/>
        <v>0.49549549549549549</v>
      </c>
      <c r="G31" s="16" t="s">
        <v>145</v>
      </c>
      <c r="H31" s="16" t="s">
        <v>146</v>
      </c>
    </row>
    <row r="32" spans="1:8" ht="24.95" customHeight="1" x14ac:dyDescent="0.25">
      <c r="A32" s="16" t="s">
        <v>38</v>
      </c>
      <c r="B32" s="16">
        <v>3271</v>
      </c>
      <c r="C32" s="16">
        <v>1271</v>
      </c>
      <c r="D32" s="10">
        <f t="shared" si="2"/>
        <v>0.38856618771018037</v>
      </c>
      <c r="E32" s="16">
        <v>904</v>
      </c>
      <c r="F32" s="10">
        <f t="shared" si="5"/>
        <v>0.71125098347757676</v>
      </c>
      <c r="G32" s="16" t="s">
        <v>145</v>
      </c>
      <c r="H32" s="16" t="s">
        <v>146</v>
      </c>
    </row>
    <row r="33" spans="1:8" ht="24.95" customHeight="1" x14ac:dyDescent="0.25">
      <c r="A33" s="16" t="s">
        <v>40</v>
      </c>
      <c r="B33" s="16">
        <v>2291</v>
      </c>
      <c r="C33" s="16">
        <v>553</v>
      </c>
      <c r="D33" s="10">
        <f t="shared" si="2"/>
        <v>0.2413793103448276</v>
      </c>
      <c r="E33" s="16">
        <v>197</v>
      </c>
      <c r="F33" s="10">
        <f t="shared" si="5"/>
        <v>0.3562386980108499</v>
      </c>
      <c r="G33" s="16" t="s">
        <v>145</v>
      </c>
      <c r="H33" s="16" t="s">
        <v>146</v>
      </c>
    </row>
    <row r="34" spans="1:8" ht="24.95" customHeight="1" x14ac:dyDescent="0.25">
      <c r="A34" s="16" t="s">
        <v>41</v>
      </c>
      <c r="B34" s="16">
        <v>1908</v>
      </c>
      <c r="C34" s="16">
        <v>450</v>
      </c>
      <c r="D34" s="10">
        <f t="shared" si="2"/>
        <v>0.23584905660377359</v>
      </c>
      <c r="E34" s="16">
        <v>80</v>
      </c>
      <c r="F34" s="10">
        <f t="shared" si="5"/>
        <v>0.17777777777777778</v>
      </c>
      <c r="G34" s="16" t="s">
        <v>145</v>
      </c>
      <c r="H34" s="16" t="s">
        <v>145</v>
      </c>
    </row>
    <row r="35" spans="1:8" ht="24.95" customHeight="1" x14ac:dyDescent="0.25">
      <c r="A35" s="16" t="s">
        <v>42</v>
      </c>
      <c r="B35" s="16">
        <v>902</v>
      </c>
      <c r="C35" s="16">
        <v>147</v>
      </c>
      <c r="D35" s="10">
        <f t="shared" si="2"/>
        <v>0.16297117516629711</v>
      </c>
      <c r="E35" s="16">
        <v>62</v>
      </c>
      <c r="F35" s="10">
        <f t="shared" si="5"/>
        <v>0.42176870748299322</v>
      </c>
      <c r="G35" s="16" t="s">
        <v>145</v>
      </c>
      <c r="H35" s="16" t="s">
        <v>145</v>
      </c>
    </row>
    <row r="36" spans="1:8" ht="24.95" customHeight="1" x14ac:dyDescent="0.25">
      <c r="A36" s="16" t="s">
        <v>43</v>
      </c>
      <c r="B36" s="16">
        <v>997</v>
      </c>
      <c r="C36" s="16">
        <v>512</v>
      </c>
      <c r="D36" s="10">
        <f t="shared" si="2"/>
        <v>0.51354062186559679</v>
      </c>
      <c r="E36" s="16">
        <v>444</v>
      </c>
      <c r="F36" s="10">
        <f t="shared" si="5"/>
        <v>0.8671875</v>
      </c>
      <c r="G36" s="16" t="s">
        <v>146</v>
      </c>
      <c r="H36" s="16" t="s">
        <v>146</v>
      </c>
    </row>
    <row r="37" spans="1:8" ht="24.95" customHeight="1" x14ac:dyDescent="0.25">
      <c r="A37" s="16" t="s">
        <v>126</v>
      </c>
      <c r="B37" s="16">
        <v>795</v>
      </c>
      <c r="C37" s="16">
        <v>283</v>
      </c>
      <c r="D37" s="10">
        <f t="shared" si="2"/>
        <v>0.35597484276729557</v>
      </c>
      <c r="E37" s="16">
        <v>246</v>
      </c>
      <c r="F37" s="10">
        <f t="shared" si="5"/>
        <v>0.86925795053003529</v>
      </c>
      <c r="G37" s="16" t="s">
        <v>146</v>
      </c>
      <c r="H37" s="16" t="s">
        <v>146</v>
      </c>
    </row>
    <row r="38" spans="1:8" ht="24.95" customHeight="1" x14ac:dyDescent="0.25">
      <c r="A38" s="16" t="s">
        <v>119</v>
      </c>
      <c r="B38" s="16">
        <v>993</v>
      </c>
      <c r="C38" s="16">
        <v>487</v>
      </c>
      <c r="D38" s="10">
        <f t="shared" si="2"/>
        <v>0.49043303121852971</v>
      </c>
      <c r="E38" s="16">
        <v>372</v>
      </c>
      <c r="F38" s="10">
        <f t="shared" si="5"/>
        <v>0.76386036960985626</v>
      </c>
      <c r="G38" s="16" t="s">
        <v>146</v>
      </c>
      <c r="H38" s="16" t="s">
        <v>146</v>
      </c>
    </row>
    <row r="39" spans="1:8" ht="24.95" customHeight="1" x14ac:dyDescent="0.25">
      <c r="A39" s="16" t="s">
        <v>44</v>
      </c>
      <c r="B39" s="16">
        <v>3521</v>
      </c>
      <c r="C39" s="16">
        <v>557</v>
      </c>
      <c r="D39" s="10">
        <f t="shared" si="2"/>
        <v>0.15819369497301902</v>
      </c>
      <c r="E39" s="16">
        <v>252</v>
      </c>
      <c r="F39" s="10">
        <f t="shared" si="5"/>
        <v>0.4524236983842011</v>
      </c>
      <c r="G39" s="16" t="s">
        <v>145</v>
      </c>
      <c r="H39" s="16" t="s">
        <v>146</v>
      </c>
    </row>
    <row r="40" spans="1:8" ht="24.95" customHeight="1" x14ac:dyDescent="0.25">
      <c r="A40" s="16" t="s">
        <v>141</v>
      </c>
      <c r="B40" s="16">
        <v>1526</v>
      </c>
      <c r="C40" s="16">
        <v>575</v>
      </c>
      <c r="D40" s="10">
        <f t="shared" si="2"/>
        <v>0.3768020969855832</v>
      </c>
      <c r="E40" s="16">
        <v>476</v>
      </c>
      <c r="F40" s="10">
        <f t="shared" si="5"/>
        <v>0.82782608695652171</v>
      </c>
      <c r="G40" s="16" t="s">
        <v>145</v>
      </c>
      <c r="H40" s="16" t="s">
        <v>145</v>
      </c>
    </row>
    <row r="41" spans="1:8" ht="24.95" customHeight="1" x14ac:dyDescent="0.25">
      <c r="A41" s="16" t="s">
        <v>120</v>
      </c>
      <c r="B41" s="16">
        <v>199</v>
      </c>
      <c r="C41" s="16">
        <v>54</v>
      </c>
      <c r="D41" s="10">
        <f t="shared" si="2"/>
        <v>0.271356783919598</v>
      </c>
      <c r="E41" s="16">
        <v>27</v>
      </c>
      <c r="F41" s="10">
        <f t="shared" si="5"/>
        <v>0.5</v>
      </c>
      <c r="G41" s="16" t="s">
        <v>145</v>
      </c>
      <c r="H41" s="16" t="s">
        <v>146</v>
      </c>
    </row>
    <row r="42" spans="1:8" ht="24.95" customHeight="1" x14ac:dyDescent="0.25">
      <c r="A42" s="16" t="s">
        <v>45</v>
      </c>
      <c r="B42" s="16">
        <v>2274</v>
      </c>
      <c r="C42" s="16">
        <v>914</v>
      </c>
      <c r="D42" s="10">
        <f t="shared" ref="D42:D43" si="6">SUM(C42/B42)</f>
        <v>0.4019349164467898</v>
      </c>
      <c r="E42" s="16">
        <v>752</v>
      </c>
      <c r="F42" s="10">
        <f t="shared" ref="F42:F43" si="7">SUM(E42/C42)</f>
        <v>0.82275711159737419</v>
      </c>
      <c r="G42" s="16" t="s">
        <v>146</v>
      </c>
      <c r="H42" s="16" t="s">
        <v>146</v>
      </c>
    </row>
    <row r="43" spans="1:8" ht="24.95" customHeight="1" x14ac:dyDescent="0.25">
      <c r="A43" s="16" t="s">
        <v>46</v>
      </c>
      <c r="B43" s="16">
        <v>761</v>
      </c>
      <c r="C43" s="16">
        <v>270</v>
      </c>
      <c r="D43" s="10">
        <f t="shared" si="6"/>
        <v>0.35479632063074901</v>
      </c>
      <c r="E43" s="16">
        <v>186</v>
      </c>
      <c r="F43" s="10">
        <f t="shared" si="7"/>
        <v>0.68888888888888888</v>
      </c>
      <c r="G43" s="16" t="s">
        <v>146</v>
      </c>
      <c r="H43" s="16" t="s">
        <v>145</v>
      </c>
    </row>
    <row r="44" spans="1:8" ht="24.95" customHeight="1" x14ac:dyDescent="0.25">
      <c r="A44" s="16" t="s">
        <v>127</v>
      </c>
      <c r="B44" s="16">
        <v>15936</v>
      </c>
      <c r="C44" s="16">
        <v>7520</v>
      </c>
      <c r="D44" s="10">
        <f t="shared" ref="D44:D50" si="8">SUM(C44/B44)</f>
        <v>0.4718875502008032</v>
      </c>
      <c r="E44" s="16">
        <v>6257</v>
      </c>
      <c r="F44" s="10">
        <f t="shared" ref="F44:F61" si="9">SUM(E44/C44)</f>
        <v>0.83204787234042554</v>
      </c>
      <c r="G44" s="16" t="s">
        <v>146</v>
      </c>
      <c r="H44" s="16" t="s">
        <v>146</v>
      </c>
    </row>
    <row r="45" spans="1:8" ht="24.95" customHeight="1" x14ac:dyDescent="0.25">
      <c r="A45" s="16" t="s">
        <v>8</v>
      </c>
      <c r="B45" s="16">
        <v>3556</v>
      </c>
      <c r="C45" s="16">
        <v>877</v>
      </c>
      <c r="D45" s="10">
        <f t="shared" si="8"/>
        <v>0.24662542182227221</v>
      </c>
      <c r="E45" s="16">
        <v>378</v>
      </c>
      <c r="F45" s="10">
        <f t="shared" si="9"/>
        <v>0.43101482326111745</v>
      </c>
      <c r="G45" s="16" t="s">
        <v>145</v>
      </c>
      <c r="H45" s="16" t="s">
        <v>145</v>
      </c>
    </row>
    <row r="46" spans="1:8" ht="24.95" customHeight="1" x14ac:dyDescent="0.25">
      <c r="A46" s="16" t="s">
        <v>47</v>
      </c>
      <c r="B46" s="16">
        <v>1443</v>
      </c>
      <c r="C46" s="16">
        <v>205</v>
      </c>
      <c r="D46" s="10">
        <f t="shared" si="8"/>
        <v>0.14206514206514206</v>
      </c>
      <c r="E46" s="16">
        <v>30</v>
      </c>
      <c r="F46" s="10">
        <f t="shared" si="9"/>
        <v>0.14634146341463414</v>
      </c>
      <c r="G46" s="16" t="s">
        <v>145</v>
      </c>
      <c r="H46" s="16" t="s">
        <v>145</v>
      </c>
    </row>
    <row r="47" spans="1:8" ht="24.95" customHeight="1" x14ac:dyDescent="0.25">
      <c r="A47" s="16" t="s">
        <v>48</v>
      </c>
      <c r="B47" s="16">
        <v>743</v>
      </c>
      <c r="C47" s="16">
        <v>285</v>
      </c>
      <c r="D47" s="10">
        <f t="shared" si="8"/>
        <v>0.3835800807537012</v>
      </c>
      <c r="E47" s="16">
        <v>276</v>
      </c>
      <c r="F47" s="10">
        <f t="shared" si="9"/>
        <v>0.96842105263157896</v>
      </c>
      <c r="G47" s="16" t="s">
        <v>146</v>
      </c>
      <c r="H47" s="16" t="s">
        <v>146</v>
      </c>
    </row>
    <row r="48" spans="1:8" ht="24.95" customHeight="1" x14ac:dyDescent="0.25">
      <c r="A48" s="16" t="s">
        <v>154</v>
      </c>
      <c r="B48" s="16">
        <v>2227</v>
      </c>
      <c r="C48" s="16">
        <v>453</v>
      </c>
      <c r="D48" s="10">
        <f t="shared" si="8"/>
        <v>0.20341266277503367</v>
      </c>
      <c r="E48" s="16">
        <v>93</v>
      </c>
      <c r="F48" s="10">
        <f t="shared" si="9"/>
        <v>0.20529801324503311</v>
      </c>
      <c r="G48" s="16" t="s">
        <v>145</v>
      </c>
      <c r="H48" s="16" t="s">
        <v>145</v>
      </c>
    </row>
    <row r="49" spans="1:8" ht="24.95" customHeight="1" x14ac:dyDescent="0.25">
      <c r="A49" s="16" t="s">
        <v>155</v>
      </c>
      <c r="B49" s="16">
        <v>1067</v>
      </c>
      <c r="C49" s="16">
        <v>262</v>
      </c>
      <c r="D49" s="10">
        <f t="shared" si="8"/>
        <v>0.24554826616682288</v>
      </c>
      <c r="E49" s="16">
        <v>184</v>
      </c>
      <c r="F49" s="10">
        <f t="shared" si="9"/>
        <v>0.70229007633587781</v>
      </c>
      <c r="G49" s="16" t="s">
        <v>145</v>
      </c>
      <c r="H49" s="16" t="s">
        <v>145</v>
      </c>
    </row>
    <row r="50" spans="1:8" ht="24.95" customHeight="1" x14ac:dyDescent="0.25">
      <c r="A50" s="16" t="s">
        <v>49</v>
      </c>
      <c r="B50" s="16">
        <v>992</v>
      </c>
      <c r="C50" s="16">
        <v>348</v>
      </c>
      <c r="D50" s="10">
        <f t="shared" si="8"/>
        <v>0.35080645161290325</v>
      </c>
      <c r="E50" s="16">
        <v>316</v>
      </c>
      <c r="F50" s="10">
        <f t="shared" si="9"/>
        <v>0.90804597701149425</v>
      </c>
      <c r="G50" s="16" t="s">
        <v>146</v>
      </c>
      <c r="H50" s="16" t="s">
        <v>146</v>
      </c>
    </row>
    <row r="51" spans="1:8" ht="24.95" customHeight="1" x14ac:dyDescent="0.25">
      <c r="A51" s="16" t="s">
        <v>139</v>
      </c>
      <c r="B51" s="16">
        <v>839</v>
      </c>
      <c r="C51" s="16">
        <v>170</v>
      </c>
      <c r="D51" s="10">
        <f t="shared" ref="D51:D52" si="10">SUM(C51/B51)</f>
        <v>0.20262216924910609</v>
      </c>
      <c r="E51" s="16">
        <v>129</v>
      </c>
      <c r="F51" s="10">
        <f t="shared" si="9"/>
        <v>0.75882352941176467</v>
      </c>
      <c r="G51" s="16" t="s">
        <v>145</v>
      </c>
      <c r="H51" s="16" t="s">
        <v>145</v>
      </c>
    </row>
    <row r="52" spans="1:8" ht="24.95" customHeight="1" x14ac:dyDescent="0.25">
      <c r="A52" s="16" t="s">
        <v>50</v>
      </c>
      <c r="B52" s="16">
        <v>167</v>
      </c>
      <c r="C52" s="16">
        <v>62</v>
      </c>
      <c r="D52" s="10">
        <f t="shared" si="10"/>
        <v>0.3712574850299401</v>
      </c>
      <c r="E52" s="16">
        <v>39</v>
      </c>
      <c r="F52" s="10">
        <f t="shared" si="9"/>
        <v>0.62903225806451613</v>
      </c>
      <c r="G52" s="16" t="s">
        <v>145</v>
      </c>
      <c r="H52" s="16" t="s">
        <v>146</v>
      </c>
    </row>
    <row r="53" spans="1:8" ht="24.95" customHeight="1" x14ac:dyDescent="0.25">
      <c r="A53" s="16" t="s">
        <v>9</v>
      </c>
      <c r="B53" s="16">
        <v>519</v>
      </c>
      <c r="C53" s="16">
        <v>232</v>
      </c>
      <c r="D53" s="10">
        <f t="shared" ref="D53:D82" si="11">SUM(C53/B53)</f>
        <v>0.44701348747591524</v>
      </c>
      <c r="E53" s="16">
        <v>181</v>
      </c>
      <c r="F53" s="10">
        <f t="shared" si="9"/>
        <v>0.78017241379310343</v>
      </c>
      <c r="G53" s="16" t="s">
        <v>146</v>
      </c>
      <c r="H53" s="16" t="s">
        <v>146</v>
      </c>
    </row>
    <row r="54" spans="1:8" ht="24.95" customHeight="1" x14ac:dyDescent="0.25">
      <c r="A54" s="16" t="s">
        <v>131</v>
      </c>
      <c r="B54" s="16">
        <v>252</v>
      </c>
      <c r="C54" s="16">
        <v>102</v>
      </c>
      <c r="D54" s="10">
        <f t="shared" si="11"/>
        <v>0.40476190476190477</v>
      </c>
      <c r="E54" s="16">
        <v>94</v>
      </c>
      <c r="F54" s="10">
        <f t="shared" si="9"/>
        <v>0.92156862745098034</v>
      </c>
      <c r="G54" s="16" t="s">
        <v>146</v>
      </c>
      <c r="H54" s="16" t="s">
        <v>146</v>
      </c>
    </row>
    <row r="55" spans="1:8" ht="24.95" customHeight="1" x14ac:dyDescent="0.25">
      <c r="A55" s="16" t="s">
        <v>10</v>
      </c>
      <c r="B55" s="16">
        <v>752</v>
      </c>
      <c r="C55" s="16">
        <v>234</v>
      </c>
      <c r="D55" s="10">
        <f t="shared" si="11"/>
        <v>0.31117021276595747</v>
      </c>
      <c r="E55" s="16">
        <v>50</v>
      </c>
      <c r="F55" s="10">
        <f t="shared" si="9"/>
        <v>0.21367521367521367</v>
      </c>
      <c r="G55" s="16" t="s">
        <v>145</v>
      </c>
      <c r="H55" s="16" t="s">
        <v>146</v>
      </c>
    </row>
    <row r="56" spans="1:8" ht="24.95" customHeight="1" x14ac:dyDescent="0.25">
      <c r="A56" s="16" t="s">
        <v>52</v>
      </c>
      <c r="B56" s="16">
        <v>208</v>
      </c>
      <c r="C56" s="16">
        <v>94</v>
      </c>
      <c r="D56" s="10">
        <f t="shared" si="11"/>
        <v>0.45192307692307693</v>
      </c>
      <c r="E56" s="16">
        <v>74</v>
      </c>
      <c r="F56" s="10">
        <f t="shared" si="9"/>
        <v>0.78723404255319152</v>
      </c>
      <c r="G56" s="16" t="s">
        <v>146</v>
      </c>
      <c r="H56" s="16" t="s">
        <v>146</v>
      </c>
    </row>
    <row r="57" spans="1:8" ht="24.95" customHeight="1" x14ac:dyDescent="0.25">
      <c r="A57" s="16" t="s">
        <v>53</v>
      </c>
      <c r="B57" s="16">
        <v>1684</v>
      </c>
      <c r="C57" s="16">
        <v>436</v>
      </c>
      <c r="D57" s="10">
        <f t="shared" si="11"/>
        <v>0.25890736342042753</v>
      </c>
      <c r="E57" s="16">
        <v>308</v>
      </c>
      <c r="F57" s="10">
        <f t="shared" si="9"/>
        <v>0.70642201834862384</v>
      </c>
      <c r="G57" s="16" t="s">
        <v>145</v>
      </c>
      <c r="H57" s="16" t="s">
        <v>146</v>
      </c>
    </row>
    <row r="58" spans="1:8" ht="24.95" customHeight="1" x14ac:dyDescent="0.25">
      <c r="A58" s="16" t="s">
        <v>11</v>
      </c>
      <c r="B58" s="16">
        <v>293</v>
      </c>
      <c r="C58" s="16">
        <v>45</v>
      </c>
      <c r="D58" s="10">
        <f t="shared" si="11"/>
        <v>0.15358361774744028</v>
      </c>
      <c r="E58" s="16">
        <v>29</v>
      </c>
      <c r="F58" s="10">
        <f t="shared" si="9"/>
        <v>0.64444444444444449</v>
      </c>
      <c r="G58" s="16" t="s">
        <v>145</v>
      </c>
      <c r="H58" s="16" t="s">
        <v>145</v>
      </c>
    </row>
    <row r="59" spans="1:8" ht="24.95" customHeight="1" x14ac:dyDescent="0.25">
      <c r="A59" s="16" t="s">
        <v>54</v>
      </c>
      <c r="B59" s="18">
        <v>10174</v>
      </c>
      <c r="C59" s="16">
        <v>2125</v>
      </c>
      <c r="D59" s="10">
        <f t="shared" si="11"/>
        <v>0.20886573619028898</v>
      </c>
      <c r="E59" s="16">
        <v>1208</v>
      </c>
      <c r="F59" s="10">
        <f t="shared" si="9"/>
        <v>0.56847058823529417</v>
      </c>
      <c r="G59" s="16" t="s">
        <v>145</v>
      </c>
      <c r="H59" s="16" t="s">
        <v>146</v>
      </c>
    </row>
    <row r="60" spans="1:8" ht="24.95" customHeight="1" x14ac:dyDescent="0.25">
      <c r="A60" s="16" t="s">
        <v>12</v>
      </c>
      <c r="B60" s="16">
        <v>2328</v>
      </c>
      <c r="C60" s="16">
        <v>347</v>
      </c>
      <c r="D60" s="10">
        <f t="shared" si="11"/>
        <v>0.14905498281786941</v>
      </c>
      <c r="E60" s="16">
        <v>175</v>
      </c>
      <c r="F60" s="10">
        <f t="shared" si="9"/>
        <v>0.50432276657060515</v>
      </c>
      <c r="G60" s="16" t="s">
        <v>145</v>
      </c>
      <c r="H60" s="16" t="s">
        <v>147</v>
      </c>
    </row>
    <row r="61" spans="1:8" ht="24.95" customHeight="1" x14ac:dyDescent="0.25">
      <c r="A61" s="16" t="s">
        <v>55</v>
      </c>
      <c r="B61" s="16">
        <v>4166</v>
      </c>
      <c r="C61" s="16">
        <v>915</v>
      </c>
      <c r="D61" s="10">
        <f t="shared" si="11"/>
        <v>0.21963514162265962</v>
      </c>
      <c r="E61" s="16">
        <v>633</v>
      </c>
      <c r="F61" s="10">
        <f t="shared" si="9"/>
        <v>0.69180327868852454</v>
      </c>
      <c r="G61" s="16" t="s">
        <v>145</v>
      </c>
      <c r="H61" s="16" t="s">
        <v>146</v>
      </c>
    </row>
    <row r="62" spans="1:8" ht="24.95" customHeight="1" x14ac:dyDescent="0.25">
      <c r="A62" s="16" t="s">
        <v>56</v>
      </c>
      <c r="B62" s="16">
        <v>458</v>
      </c>
      <c r="C62" s="16">
        <v>48</v>
      </c>
      <c r="D62" s="10">
        <f t="shared" si="11"/>
        <v>0.10480349344978165</v>
      </c>
      <c r="E62" s="16"/>
      <c r="F62" s="10"/>
      <c r="G62" s="16" t="s">
        <v>145</v>
      </c>
      <c r="H62" s="16" t="s">
        <v>145</v>
      </c>
    </row>
    <row r="63" spans="1:8" ht="24.95" customHeight="1" x14ac:dyDescent="0.25">
      <c r="A63" s="16" t="s">
        <v>57</v>
      </c>
      <c r="B63" s="16">
        <v>533</v>
      </c>
      <c r="C63" s="16">
        <v>115</v>
      </c>
      <c r="D63" s="10">
        <f t="shared" si="11"/>
        <v>0.21575984990619138</v>
      </c>
      <c r="E63" s="16">
        <v>47</v>
      </c>
      <c r="F63" s="10">
        <f>SUM(E63/C63)</f>
        <v>0.40869565217391307</v>
      </c>
      <c r="G63" s="16" t="s">
        <v>145</v>
      </c>
      <c r="H63" s="16" t="s">
        <v>146</v>
      </c>
    </row>
    <row r="64" spans="1:8" ht="24.95" customHeight="1" x14ac:dyDescent="0.25">
      <c r="A64" s="16" t="s">
        <v>58</v>
      </c>
      <c r="B64" s="16">
        <v>2142</v>
      </c>
      <c r="C64" s="16">
        <v>338</v>
      </c>
      <c r="D64" s="10">
        <f t="shared" si="11"/>
        <v>0.15779645191409897</v>
      </c>
      <c r="E64" s="16">
        <v>144</v>
      </c>
      <c r="F64" s="10">
        <f>SUM(E64/C64)</f>
        <v>0.42603550295857989</v>
      </c>
      <c r="G64" s="16" t="s">
        <v>145</v>
      </c>
      <c r="H64" s="16" t="s">
        <v>146</v>
      </c>
    </row>
    <row r="65" spans="1:8" ht="24.95" customHeight="1" x14ac:dyDescent="0.25">
      <c r="A65" s="16" t="s">
        <v>132</v>
      </c>
      <c r="B65" s="16">
        <v>315</v>
      </c>
      <c r="C65" s="16">
        <v>83</v>
      </c>
      <c r="D65" s="10">
        <f t="shared" si="11"/>
        <v>0.2634920634920635</v>
      </c>
      <c r="E65" s="16">
        <v>21</v>
      </c>
      <c r="F65" s="10">
        <f>SUM(E65/C65)</f>
        <v>0.25301204819277107</v>
      </c>
      <c r="G65" s="16" t="s">
        <v>145</v>
      </c>
      <c r="H65" s="16" t="s">
        <v>146</v>
      </c>
    </row>
    <row r="66" spans="1:8" ht="24.95" customHeight="1" x14ac:dyDescent="0.25">
      <c r="A66" s="16" t="s">
        <v>59</v>
      </c>
      <c r="B66" s="16">
        <v>844</v>
      </c>
      <c r="C66" s="16">
        <v>100</v>
      </c>
      <c r="D66" s="10">
        <f t="shared" si="11"/>
        <v>0.11848341232227488</v>
      </c>
      <c r="E66" s="16"/>
      <c r="F66" s="10"/>
      <c r="G66" s="16" t="s">
        <v>145</v>
      </c>
      <c r="H66" s="16" t="s">
        <v>146</v>
      </c>
    </row>
    <row r="67" spans="1:8" ht="24.95" customHeight="1" x14ac:dyDescent="0.25">
      <c r="A67" s="16" t="s">
        <v>60</v>
      </c>
      <c r="B67" s="16">
        <v>408</v>
      </c>
      <c r="C67" s="16">
        <v>36</v>
      </c>
      <c r="D67" s="10">
        <f t="shared" si="11"/>
        <v>8.8235294117647065E-2</v>
      </c>
      <c r="E67" s="16">
        <v>2</v>
      </c>
      <c r="F67" s="10">
        <f t="shared" ref="F67:F76" si="12">SUM(E67/C67)</f>
        <v>5.5555555555555552E-2</v>
      </c>
      <c r="G67" s="16" t="s">
        <v>145</v>
      </c>
      <c r="H67" s="16" t="s">
        <v>145</v>
      </c>
    </row>
    <row r="68" spans="1:8" ht="24.95" customHeight="1" x14ac:dyDescent="0.25">
      <c r="A68" s="16" t="s">
        <v>61</v>
      </c>
      <c r="B68" s="16">
        <v>4255</v>
      </c>
      <c r="C68" s="16">
        <v>1149</v>
      </c>
      <c r="D68" s="10">
        <f t="shared" si="11"/>
        <v>0.27003525264394829</v>
      </c>
      <c r="E68" s="16">
        <v>761</v>
      </c>
      <c r="F68" s="10">
        <f t="shared" si="12"/>
        <v>0.66231505657093126</v>
      </c>
      <c r="G68" s="16" t="s">
        <v>145</v>
      </c>
      <c r="H68" s="16" t="s">
        <v>146</v>
      </c>
    </row>
    <row r="69" spans="1:8" ht="24.95" customHeight="1" x14ac:dyDescent="0.25">
      <c r="A69" s="16" t="s">
        <v>62</v>
      </c>
      <c r="B69" s="16">
        <v>1063</v>
      </c>
      <c r="C69" s="16">
        <v>235</v>
      </c>
      <c r="D69" s="10">
        <f t="shared" si="11"/>
        <v>0.22107243650047037</v>
      </c>
      <c r="E69" s="16">
        <v>124</v>
      </c>
      <c r="F69" s="10">
        <f t="shared" si="12"/>
        <v>0.52765957446808509</v>
      </c>
      <c r="G69" s="16" t="s">
        <v>145</v>
      </c>
      <c r="H69" s="16" t="s">
        <v>145</v>
      </c>
    </row>
    <row r="70" spans="1:8" ht="24.95" customHeight="1" x14ac:dyDescent="0.25">
      <c r="A70" s="16" t="s">
        <v>63</v>
      </c>
      <c r="B70" s="16">
        <v>140</v>
      </c>
      <c r="C70" s="16">
        <v>79</v>
      </c>
      <c r="D70" s="10">
        <f t="shared" si="11"/>
        <v>0.56428571428571428</v>
      </c>
      <c r="E70" s="16">
        <v>35</v>
      </c>
      <c r="F70" s="10">
        <f t="shared" si="12"/>
        <v>0.44303797468354428</v>
      </c>
      <c r="G70" s="16" t="s">
        <v>146</v>
      </c>
      <c r="H70" s="16" t="s">
        <v>146</v>
      </c>
    </row>
    <row r="71" spans="1:8" ht="24.95" customHeight="1" x14ac:dyDescent="0.25">
      <c r="A71" s="16" t="s">
        <v>64</v>
      </c>
      <c r="B71" s="16">
        <v>1095</v>
      </c>
      <c r="C71" s="16">
        <v>410</v>
      </c>
      <c r="D71" s="10">
        <f t="shared" si="11"/>
        <v>0.37442922374429222</v>
      </c>
      <c r="E71" s="16">
        <v>300</v>
      </c>
      <c r="F71" s="10">
        <f t="shared" si="12"/>
        <v>0.73170731707317072</v>
      </c>
      <c r="G71" s="16" t="s">
        <v>145</v>
      </c>
      <c r="H71" s="16" t="s">
        <v>146</v>
      </c>
    </row>
    <row r="72" spans="1:8" ht="24.95" customHeight="1" x14ac:dyDescent="0.25">
      <c r="A72" s="16" t="s">
        <v>66</v>
      </c>
      <c r="B72" s="16">
        <v>3484</v>
      </c>
      <c r="C72" s="16">
        <v>325</v>
      </c>
      <c r="D72" s="10">
        <f t="shared" si="11"/>
        <v>9.3283582089552244E-2</v>
      </c>
      <c r="E72" s="16">
        <v>111</v>
      </c>
      <c r="F72" s="10">
        <f t="shared" si="12"/>
        <v>0.34153846153846151</v>
      </c>
      <c r="G72" s="16" t="s">
        <v>145</v>
      </c>
      <c r="H72" s="16" t="s">
        <v>146</v>
      </c>
    </row>
    <row r="73" spans="1:8" ht="24.95" customHeight="1" x14ac:dyDescent="0.25">
      <c r="A73" s="16" t="s">
        <v>67</v>
      </c>
      <c r="B73" s="16">
        <v>3582</v>
      </c>
      <c r="C73" s="16" t="s">
        <v>143</v>
      </c>
      <c r="D73" s="10">
        <f t="shared" si="11"/>
        <v>0.34338358458961477</v>
      </c>
      <c r="E73" s="16">
        <v>1167</v>
      </c>
      <c r="F73" s="10">
        <f t="shared" si="12"/>
        <v>0.948780487804878</v>
      </c>
      <c r="G73" s="16" t="s">
        <v>146</v>
      </c>
      <c r="H73" s="16" t="s">
        <v>146</v>
      </c>
    </row>
    <row r="74" spans="1:8" ht="24.95" customHeight="1" x14ac:dyDescent="0.25">
      <c r="A74" s="16" t="s">
        <v>68</v>
      </c>
      <c r="B74" s="16">
        <v>749</v>
      </c>
      <c r="C74" s="16">
        <v>312</v>
      </c>
      <c r="D74" s="10">
        <f t="shared" si="11"/>
        <v>0.41655540720961282</v>
      </c>
      <c r="E74" s="16">
        <v>301</v>
      </c>
      <c r="F74" s="10">
        <f t="shared" si="12"/>
        <v>0.96474358974358976</v>
      </c>
      <c r="G74" s="16" t="s">
        <v>146</v>
      </c>
      <c r="H74" s="16" t="s">
        <v>146</v>
      </c>
    </row>
    <row r="75" spans="1:8" ht="24.95" customHeight="1" x14ac:dyDescent="0.25">
      <c r="A75" s="16" t="s">
        <v>69</v>
      </c>
      <c r="B75" s="16">
        <v>5641</v>
      </c>
      <c r="C75" s="16">
        <v>1521</v>
      </c>
      <c r="D75" s="10">
        <f t="shared" si="11"/>
        <v>0.26963304378656267</v>
      </c>
      <c r="E75" s="16">
        <v>897</v>
      </c>
      <c r="F75" s="10">
        <f t="shared" si="12"/>
        <v>0.58974358974358976</v>
      </c>
      <c r="G75" s="16" t="s">
        <v>145</v>
      </c>
      <c r="H75" s="16" t="s">
        <v>146</v>
      </c>
    </row>
    <row r="76" spans="1:8" ht="24.95" customHeight="1" x14ac:dyDescent="0.25">
      <c r="A76" s="16" t="s">
        <v>156</v>
      </c>
      <c r="B76" s="16">
        <v>704</v>
      </c>
      <c r="C76" s="16">
        <v>352</v>
      </c>
      <c r="D76" s="10">
        <f t="shared" si="11"/>
        <v>0.5</v>
      </c>
      <c r="E76" s="16">
        <v>136</v>
      </c>
      <c r="F76" s="10">
        <f t="shared" si="12"/>
        <v>0.38636363636363635</v>
      </c>
      <c r="G76" s="16" t="s">
        <v>145</v>
      </c>
      <c r="H76" s="16" t="s">
        <v>145</v>
      </c>
    </row>
    <row r="77" spans="1:8" ht="24.95" customHeight="1" x14ac:dyDescent="0.25">
      <c r="A77" s="16" t="s">
        <v>13</v>
      </c>
      <c r="B77" s="16">
        <v>1448</v>
      </c>
      <c r="C77" s="16">
        <v>593</v>
      </c>
      <c r="D77" s="10">
        <f t="shared" si="11"/>
        <v>0.40953038674033149</v>
      </c>
      <c r="E77" s="16"/>
      <c r="F77" s="10"/>
      <c r="G77" s="16" t="s">
        <v>146</v>
      </c>
      <c r="H77" s="16" t="s">
        <v>146</v>
      </c>
    </row>
    <row r="78" spans="1:8" ht="24.95" customHeight="1" x14ac:dyDescent="0.25">
      <c r="A78" s="16" t="s">
        <v>70</v>
      </c>
      <c r="B78" s="16">
        <v>4085</v>
      </c>
      <c r="C78" s="16">
        <v>1458</v>
      </c>
      <c r="D78" s="10">
        <f t="shared" si="11"/>
        <v>0.35691554467564257</v>
      </c>
      <c r="E78" s="16">
        <v>1326</v>
      </c>
      <c r="F78" s="10">
        <f>SUM(E78/C78)</f>
        <v>0.90946502057613166</v>
      </c>
      <c r="G78" s="16" t="s">
        <v>146</v>
      </c>
      <c r="H78" s="16" t="s">
        <v>145</v>
      </c>
    </row>
    <row r="79" spans="1:8" ht="24.95" customHeight="1" x14ac:dyDescent="0.25">
      <c r="A79" s="16" t="s">
        <v>71</v>
      </c>
      <c r="B79" s="16">
        <v>1110</v>
      </c>
      <c r="C79" s="16">
        <v>275</v>
      </c>
      <c r="D79" s="10">
        <f t="shared" si="11"/>
        <v>0.24774774774774774</v>
      </c>
      <c r="E79" s="16">
        <v>126</v>
      </c>
      <c r="F79" s="10">
        <f>SUM(E79/C79)</f>
        <v>0.45818181818181819</v>
      </c>
      <c r="G79" s="16" t="s">
        <v>145</v>
      </c>
      <c r="H79" s="16" t="s">
        <v>145</v>
      </c>
    </row>
    <row r="80" spans="1:8" ht="24.95" customHeight="1" x14ac:dyDescent="0.25">
      <c r="A80" s="16" t="s">
        <v>72</v>
      </c>
      <c r="B80" s="16">
        <v>143</v>
      </c>
      <c r="C80" s="16">
        <v>53</v>
      </c>
      <c r="D80" s="10">
        <f t="shared" si="11"/>
        <v>0.37062937062937062</v>
      </c>
      <c r="E80" s="16">
        <v>53</v>
      </c>
      <c r="F80" s="10">
        <f>SUM(E80/C80)</f>
        <v>1</v>
      </c>
      <c r="G80" s="16" t="s">
        <v>146</v>
      </c>
      <c r="H80" s="16" t="s">
        <v>146</v>
      </c>
    </row>
    <row r="81" spans="1:8" ht="24.95" customHeight="1" x14ac:dyDescent="0.25">
      <c r="A81" s="16" t="s">
        <v>73</v>
      </c>
      <c r="B81" s="16">
        <v>1367</v>
      </c>
      <c r="C81" s="16">
        <v>387</v>
      </c>
      <c r="D81" s="10">
        <f t="shared" si="11"/>
        <v>0.2831016825164594</v>
      </c>
      <c r="E81" s="16">
        <v>166</v>
      </c>
      <c r="F81" s="10">
        <f>SUM(E81/C81)</f>
        <v>0.4289405684754522</v>
      </c>
      <c r="G81" s="16" t="s">
        <v>145</v>
      </c>
      <c r="H81" s="16" t="s">
        <v>145</v>
      </c>
    </row>
    <row r="82" spans="1:8" ht="24.95" customHeight="1" x14ac:dyDescent="0.25">
      <c r="A82" s="16" t="s">
        <v>121</v>
      </c>
      <c r="B82" s="16">
        <v>465</v>
      </c>
      <c r="C82" s="16">
        <v>82</v>
      </c>
      <c r="D82" s="10">
        <f t="shared" si="11"/>
        <v>0.17634408602150536</v>
      </c>
      <c r="E82" s="16">
        <v>19</v>
      </c>
      <c r="F82" s="10">
        <f>SUM(E82/C82)</f>
        <v>0.23170731707317074</v>
      </c>
      <c r="G82" s="16" t="s">
        <v>145</v>
      </c>
      <c r="H82" s="16" t="s">
        <v>146</v>
      </c>
    </row>
    <row r="83" spans="1:8" ht="24.95" customHeight="1" x14ac:dyDescent="0.25">
      <c r="A83" s="16" t="s">
        <v>74</v>
      </c>
      <c r="B83" s="16">
        <v>1498</v>
      </c>
      <c r="C83" s="16">
        <v>208</v>
      </c>
      <c r="D83" s="10">
        <f t="shared" ref="D83:D85" si="13">SUM(C83/B83)</f>
        <v>0.13885180240320427</v>
      </c>
      <c r="E83" s="16">
        <v>134</v>
      </c>
      <c r="F83" s="10">
        <f t="shared" ref="F83:F84" si="14">SUM(E83/C83)</f>
        <v>0.64423076923076927</v>
      </c>
      <c r="G83" s="16" t="s">
        <v>145</v>
      </c>
      <c r="H83" s="16" t="s">
        <v>146</v>
      </c>
    </row>
    <row r="84" spans="1:8" ht="24.95" customHeight="1" x14ac:dyDescent="0.25">
      <c r="A84" s="16" t="s">
        <v>75</v>
      </c>
      <c r="B84" s="16">
        <v>1412</v>
      </c>
      <c r="C84" s="16">
        <v>220</v>
      </c>
      <c r="D84" s="10">
        <f t="shared" si="13"/>
        <v>0.15580736543909349</v>
      </c>
      <c r="E84" s="16">
        <v>111</v>
      </c>
      <c r="F84" s="10">
        <f t="shared" si="14"/>
        <v>0.50454545454545452</v>
      </c>
      <c r="G84" s="16" t="s">
        <v>145</v>
      </c>
      <c r="H84" s="16" t="s">
        <v>146</v>
      </c>
    </row>
    <row r="85" spans="1:8" ht="24.95" customHeight="1" x14ac:dyDescent="0.25">
      <c r="A85" s="16" t="s">
        <v>76</v>
      </c>
      <c r="B85" s="16">
        <v>3920</v>
      </c>
      <c r="C85" s="16">
        <v>455</v>
      </c>
      <c r="D85" s="10">
        <f t="shared" si="13"/>
        <v>0.11607142857142858</v>
      </c>
      <c r="E85" s="16">
        <v>115</v>
      </c>
      <c r="F85" s="10">
        <f>SUM(E85/C85)</f>
        <v>0.25274725274725274</v>
      </c>
      <c r="G85" s="16" t="s">
        <v>145</v>
      </c>
      <c r="H85" s="16" t="s">
        <v>145</v>
      </c>
    </row>
    <row r="86" spans="1:8" ht="24.95" customHeight="1" x14ac:dyDescent="0.25">
      <c r="A86" s="16" t="s">
        <v>77</v>
      </c>
      <c r="B86" s="16">
        <v>828</v>
      </c>
      <c r="C86" s="16">
        <v>374</v>
      </c>
      <c r="D86" s="10">
        <f>SUM(C86/B86)</f>
        <v>0.45169082125603865</v>
      </c>
      <c r="E86" s="16">
        <v>318</v>
      </c>
      <c r="F86" s="10">
        <f>SUM(E86/C86)</f>
        <v>0.85026737967914434</v>
      </c>
      <c r="G86" s="16" t="s">
        <v>146</v>
      </c>
      <c r="H86" s="16" t="s">
        <v>145</v>
      </c>
    </row>
    <row r="87" spans="1:8" ht="24.95" customHeight="1" x14ac:dyDescent="0.25">
      <c r="A87" s="16" t="s">
        <v>14</v>
      </c>
      <c r="B87" s="16">
        <v>3262</v>
      </c>
      <c r="C87" s="16">
        <v>1000</v>
      </c>
      <c r="D87" s="10">
        <f>SUM(C87/B87)</f>
        <v>0.30656039239730226</v>
      </c>
      <c r="E87" s="16">
        <v>250</v>
      </c>
      <c r="F87" s="10">
        <f>SUM(E87/C87)</f>
        <v>0.25</v>
      </c>
      <c r="G87" s="16" t="s">
        <v>145</v>
      </c>
      <c r="H87" s="16" t="s">
        <v>146</v>
      </c>
    </row>
    <row r="88" spans="1:8" ht="24.95" customHeight="1" x14ac:dyDescent="0.25">
      <c r="A88" s="16" t="s">
        <v>78</v>
      </c>
      <c r="B88" s="16">
        <v>132</v>
      </c>
      <c r="C88" s="16">
        <v>14</v>
      </c>
      <c r="D88" s="10">
        <f>SUM(C88/B88)</f>
        <v>0.10606060606060606</v>
      </c>
      <c r="E88" s="16"/>
      <c r="F88" s="10"/>
      <c r="G88" s="16" t="s">
        <v>145</v>
      </c>
      <c r="H88" s="16" t="s">
        <v>145</v>
      </c>
    </row>
    <row r="89" spans="1:8" ht="24.95" customHeight="1" x14ac:dyDescent="0.25">
      <c r="A89" s="16" t="s">
        <v>79</v>
      </c>
      <c r="B89" s="16">
        <v>3310</v>
      </c>
      <c r="C89" s="16">
        <v>953</v>
      </c>
      <c r="D89" s="10">
        <f t="shared" ref="D89:D91" si="15">SUM(C89/B89)</f>
        <v>0.28791540785498487</v>
      </c>
      <c r="E89" s="16">
        <v>715</v>
      </c>
      <c r="F89" s="10">
        <f>SUM(E89/C89)</f>
        <v>0.75026232948583416</v>
      </c>
      <c r="G89" s="16" t="s">
        <v>145</v>
      </c>
      <c r="H89" s="16" t="s">
        <v>145</v>
      </c>
    </row>
    <row r="90" spans="1:8" ht="24.95" customHeight="1" x14ac:dyDescent="0.25">
      <c r="A90" s="16" t="s">
        <v>157</v>
      </c>
      <c r="B90" s="16">
        <v>797</v>
      </c>
      <c r="C90" s="16">
        <v>285</v>
      </c>
      <c r="D90" s="10">
        <f t="shared" si="15"/>
        <v>0.3575909661229611</v>
      </c>
      <c r="E90" s="16">
        <v>264</v>
      </c>
      <c r="F90" s="10">
        <f t="shared" ref="F90:F91" si="16">SUM(E90/C90)</f>
        <v>0.9263157894736842</v>
      </c>
      <c r="G90" s="16" t="s">
        <v>146</v>
      </c>
      <c r="H90" s="16" t="s">
        <v>146</v>
      </c>
    </row>
    <row r="91" spans="1:8" ht="24.95" customHeight="1" x14ac:dyDescent="0.25">
      <c r="A91" s="16" t="s">
        <v>80</v>
      </c>
      <c r="B91" s="16">
        <v>912</v>
      </c>
      <c r="C91" s="16">
        <v>245</v>
      </c>
      <c r="D91" s="10">
        <f t="shared" si="15"/>
        <v>0.26864035087719296</v>
      </c>
      <c r="E91" s="16">
        <v>84</v>
      </c>
      <c r="F91" s="10">
        <f t="shared" si="16"/>
        <v>0.34285714285714286</v>
      </c>
      <c r="G91" s="16" t="s">
        <v>145</v>
      </c>
      <c r="H91" s="16" t="s">
        <v>145</v>
      </c>
    </row>
    <row r="92" spans="1:8" ht="24.95" customHeight="1" x14ac:dyDescent="0.25">
      <c r="A92" s="16" t="s">
        <v>81</v>
      </c>
      <c r="B92" s="16">
        <v>1148</v>
      </c>
      <c r="C92" s="16">
        <v>517</v>
      </c>
      <c r="D92" s="10">
        <f t="shared" ref="D92:D127" si="17">SUM(C92/B92)</f>
        <v>0.45034843205574915</v>
      </c>
      <c r="E92" s="16">
        <v>259</v>
      </c>
      <c r="F92" s="10">
        <f t="shared" ref="F92:F105" si="18">SUM(E92/C92)</f>
        <v>0.50096711798839455</v>
      </c>
      <c r="G92" s="16" t="s">
        <v>145</v>
      </c>
      <c r="H92" s="16" t="s">
        <v>145</v>
      </c>
    </row>
    <row r="93" spans="1:8" s="5" customFormat="1" ht="24.95" customHeight="1" x14ac:dyDescent="0.25">
      <c r="A93" s="16" t="s">
        <v>83</v>
      </c>
      <c r="B93" s="16">
        <v>426</v>
      </c>
      <c r="C93" s="16">
        <v>114</v>
      </c>
      <c r="D93" s="10">
        <f t="shared" si="17"/>
        <v>0.26760563380281688</v>
      </c>
      <c r="E93" s="16"/>
      <c r="F93" s="10">
        <f t="shared" si="18"/>
        <v>0</v>
      </c>
      <c r="G93" s="16" t="s">
        <v>145</v>
      </c>
      <c r="H93" s="16" t="s">
        <v>146</v>
      </c>
    </row>
    <row r="94" spans="1:8" ht="24.95" customHeight="1" x14ac:dyDescent="0.25">
      <c r="A94" s="16" t="s">
        <v>138</v>
      </c>
      <c r="B94" s="16">
        <v>1054</v>
      </c>
      <c r="C94" s="16">
        <v>341</v>
      </c>
      <c r="D94" s="10">
        <f t="shared" si="17"/>
        <v>0.3235294117647059</v>
      </c>
      <c r="E94" s="16">
        <v>311</v>
      </c>
      <c r="F94" s="10">
        <f t="shared" si="18"/>
        <v>0.91202346041055715</v>
      </c>
      <c r="G94" s="16" t="s">
        <v>145</v>
      </c>
      <c r="H94" s="16" t="s">
        <v>145</v>
      </c>
    </row>
    <row r="95" spans="1:8" ht="24.95" customHeight="1" x14ac:dyDescent="0.25">
      <c r="A95" s="16" t="s">
        <v>84</v>
      </c>
      <c r="B95" s="16">
        <v>773</v>
      </c>
      <c r="C95" s="16">
        <v>486</v>
      </c>
      <c r="D95" s="10">
        <f t="shared" si="17"/>
        <v>0.628719275549806</v>
      </c>
      <c r="E95" s="16">
        <v>457</v>
      </c>
      <c r="F95" s="10">
        <f t="shared" si="18"/>
        <v>0.94032921810699588</v>
      </c>
      <c r="G95" s="16" t="s">
        <v>146</v>
      </c>
      <c r="H95" s="16" t="s">
        <v>145</v>
      </c>
    </row>
    <row r="96" spans="1:8" ht="24.95" customHeight="1" x14ac:dyDescent="0.25">
      <c r="A96" s="16" t="s">
        <v>85</v>
      </c>
      <c r="B96" s="16">
        <v>2340</v>
      </c>
      <c r="C96" s="16">
        <v>310</v>
      </c>
      <c r="D96" s="10">
        <f t="shared" si="17"/>
        <v>0.13247863247863248</v>
      </c>
      <c r="E96" s="16">
        <v>44</v>
      </c>
      <c r="F96" s="10">
        <f t="shared" si="18"/>
        <v>0.14193548387096774</v>
      </c>
      <c r="G96" s="16" t="s">
        <v>145</v>
      </c>
      <c r="H96" s="16" t="s">
        <v>145</v>
      </c>
    </row>
    <row r="97" spans="1:8" ht="24.95" customHeight="1" x14ac:dyDescent="0.25">
      <c r="A97" s="16" t="s">
        <v>86</v>
      </c>
      <c r="B97" s="16">
        <v>1258</v>
      </c>
      <c r="C97" s="16">
        <v>207</v>
      </c>
      <c r="D97" s="10">
        <f t="shared" si="17"/>
        <v>0.16454689984101747</v>
      </c>
      <c r="E97" s="16">
        <v>63</v>
      </c>
      <c r="F97" s="10">
        <f t="shared" si="18"/>
        <v>0.30434782608695654</v>
      </c>
      <c r="G97" s="16" t="s">
        <v>145</v>
      </c>
      <c r="H97" s="16" t="s">
        <v>146</v>
      </c>
    </row>
    <row r="98" spans="1:8" ht="24.95" customHeight="1" x14ac:dyDescent="0.25">
      <c r="A98" s="16" t="s">
        <v>87</v>
      </c>
      <c r="B98" s="16">
        <v>3451</v>
      </c>
      <c r="C98" s="16">
        <v>926</v>
      </c>
      <c r="D98" s="10">
        <f t="shared" si="17"/>
        <v>0.26832802086351781</v>
      </c>
      <c r="E98" s="16">
        <v>784</v>
      </c>
      <c r="F98" s="10">
        <f t="shared" si="18"/>
        <v>0.8466522678185745</v>
      </c>
      <c r="G98" s="16" t="s">
        <v>146</v>
      </c>
      <c r="H98" s="16" t="s">
        <v>145</v>
      </c>
    </row>
    <row r="99" spans="1:8" ht="24.95" customHeight="1" x14ac:dyDescent="0.25">
      <c r="A99" s="16" t="s">
        <v>134</v>
      </c>
      <c r="B99" s="16">
        <v>543</v>
      </c>
      <c r="C99" s="16">
        <v>272</v>
      </c>
      <c r="D99" s="10">
        <f t="shared" si="17"/>
        <v>0.50092081031307556</v>
      </c>
      <c r="E99" s="16">
        <v>185</v>
      </c>
      <c r="F99" s="10">
        <f t="shared" si="18"/>
        <v>0.68014705882352944</v>
      </c>
      <c r="G99" s="16" t="s">
        <v>146</v>
      </c>
      <c r="H99" s="16" t="s">
        <v>145</v>
      </c>
    </row>
    <row r="100" spans="1:8" ht="24.95" customHeight="1" x14ac:dyDescent="0.25">
      <c r="A100" s="16" t="s">
        <v>15</v>
      </c>
      <c r="B100" s="16">
        <v>592</v>
      </c>
      <c r="C100" s="16">
        <v>181</v>
      </c>
      <c r="D100" s="10">
        <f t="shared" si="17"/>
        <v>0.30574324324324326</v>
      </c>
      <c r="E100" s="16">
        <v>42</v>
      </c>
      <c r="F100" s="10">
        <f t="shared" si="18"/>
        <v>0.23204419889502761</v>
      </c>
      <c r="G100" s="16" t="s">
        <v>145</v>
      </c>
      <c r="H100" s="16" t="s">
        <v>145</v>
      </c>
    </row>
    <row r="101" spans="1:8" ht="24.95" customHeight="1" x14ac:dyDescent="0.25">
      <c r="A101" s="16" t="s">
        <v>88</v>
      </c>
      <c r="B101" s="16">
        <v>3219</v>
      </c>
      <c r="C101" s="16">
        <v>1308</v>
      </c>
      <c r="D101" s="10">
        <f t="shared" si="17"/>
        <v>0.40633737185461322</v>
      </c>
      <c r="E101" s="16">
        <v>1308</v>
      </c>
      <c r="F101" s="10">
        <f t="shared" si="18"/>
        <v>1</v>
      </c>
      <c r="G101" s="16" t="s">
        <v>145</v>
      </c>
      <c r="H101" s="16" t="s">
        <v>146</v>
      </c>
    </row>
    <row r="102" spans="1:8" ht="24.95" customHeight="1" x14ac:dyDescent="0.25">
      <c r="A102" s="16" t="s">
        <v>89</v>
      </c>
      <c r="B102" s="16">
        <v>417</v>
      </c>
      <c r="C102" s="16">
        <v>182</v>
      </c>
      <c r="D102" s="10">
        <f t="shared" si="17"/>
        <v>0.43645083932853718</v>
      </c>
      <c r="E102" s="16">
        <v>72</v>
      </c>
      <c r="F102" s="10">
        <f t="shared" si="18"/>
        <v>0.39560439560439559</v>
      </c>
      <c r="G102" s="16" t="s">
        <v>145</v>
      </c>
      <c r="H102" s="16" t="s">
        <v>146</v>
      </c>
    </row>
    <row r="103" spans="1:8" ht="24.95" customHeight="1" x14ac:dyDescent="0.25">
      <c r="A103" s="16" t="s">
        <v>135</v>
      </c>
      <c r="B103" s="16">
        <v>948</v>
      </c>
      <c r="C103" s="16">
        <v>146</v>
      </c>
      <c r="D103" s="10">
        <f t="shared" si="17"/>
        <v>0.15400843881856541</v>
      </c>
      <c r="E103" s="16">
        <v>37</v>
      </c>
      <c r="F103" s="10">
        <f t="shared" si="18"/>
        <v>0.25342465753424659</v>
      </c>
      <c r="G103" s="16" t="s">
        <v>145</v>
      </c>
      <c r="H103" s="16" t="s">
        <v>146</v>
      </c>
    </row>
    <row r="104" spans="1:8" ht="24.95" customHeight="1" x14ac:dyDescent="0.25">
      <c r="A104" s="16" t="s">
        <v>16</v>
      </c>
      <c r="B104" s="16">
        <v>3541</v>
      </c>
      <c r="C104" s="16">
        <v>591</v>
      </c>
      <c r="D104" s="10">
        <f t="shared" si="17"/>
        <v>0.1669020050833098</v>
      </c>
      <c r="E104" s="16">
        <v>163</v>
      </c>
      <c r="F104" s="10">
        <f t="shared" si="18"/>
        <v>0.27580372250423013</v>
      </c>
      <c r="G104" s="16" t="s">
        <v>145</v>
      </c>
      <c r="H104" s="16" t="s">
        <v>146</v>
      </c>
    </row>
    <row r="105" spans="1:8" ht="24.95" customHeight="1" x14ac:dyDescent="0.25">
      <c r="A105" s="16" t="s">
        <v>17</v>
      </c>
      <c r="B105" s="16">
        <v>546</v>
      </c>
      <c r="C105" s="16">
        <v>300</v>
      </c>
      <c r="D105" s="10">
        <f t="shared" si="17"/>
        <v>0.5494505494505495</v>
      </c>
      <c r="E105" s="16">
        <v>278</v>
      </c>
      <c r="F105" s="10">
        <f t="shared" si="18"/>
        <v>0.92666666666666664</v>
      </c>
      <c r="G105" s="16" t="s">
        <v>146</v>
      </c>
      <c r="H105" s="16" t="s">
        <v>145</v>
      </c>
    </row>
    <row r="106" spans="1:8" ht="24.95" customHeight="1" x14ac:dyDescent="0.25">
      <c r="A106" s="16" t="s">
        <v>90</v>
      </c>
      <c r="B106" s="16">
        <v>2340</v>
      </c>
      <c r="C106" s="16">
        <v>254</v>
      </c>
      <c r="D106" s="10">
        <f t="shared" si="17"/>
        <v>0.10854700854700855</v>
      </c>
      <c r="E106" s="16"/>
      <c r="F106" s="10"/>
      <c r="G106" s="16" t="s">
        <v>145</v>
      </c>
      <c r="H106" s="16" t="s">
        <v>145</v>
      </c>
    </row>
    <row r="107" spans="1:8" ht="24.95" customHeight="1" x14ac:dyDescent="0.25">
      <c r="A107" s="16" t="s">
        <v>158</v>
      </c>
      <c r="B107" s="16">
        <v>11136</v>
      </c>
      <c r="C107" s="16">
        <v>3548</v>
      </c>
      <c r="D107" s="10">
        <f t="shared" si="17"/>
        <v>0.31860632183908044</v>
      </c>
      <c r="E107" s="16">
        <v>962</v>
      </c>
      <c r="F107" s="10">
        <f>SUM(E107/C107)</f>
        <v>0.27113866967305522</v>
      </c>
      <c r="G107" s="16" t="s">
        <v>145</v>
      </c>
      <c r="H107" s="16" t="s">
        <v>145</v>
      </c>
    </row>
    <row r="108" spans="1:8" ht="24.95" customHeight="1" x14ac:dyDescent="0.25">
      <c r="A108" s="16" t="s">
        <v>91</v>
      </c>
      <c r="B108" s="16">
        <v>3122</v>
      </c>
      <c r="C108" s="16">
        <v>918</v>
      </c>
      <c r="D108" s="10">
        <f t="shared" si="17"/>
        <v>0.29404228058936577</v>
      </c>
      <c r="E108" s="16">
        <v>204</v>
      </c>
      <c r="F108" s="10">
        <f>SUM(E108/C108)</f>
        <v>0.22222222222222221</v>
      </c>
      <c r="G108" s="16" t="s">
        <v>145</v>
      </c>
      <c r="H108" s="16" t="s">
        <v>146</v>
      </c>
    </row>
    <row r="109" spans="1:8" ht="24.95" customHeight="1" x14ac:dyDescent="0.25">
      <c r="A109" s="16" t="s">
        <v>140</v>
      </c>
      <c r="B109" s="16">
        <v>4493</v>
      </c>
      <c r="C109" s="16">
        <v>1880</v>
      </c>
      <c r="D109" s="10">
        <f t="shared" si="17"/>
        <v>0.41842866681504565</v>
      </c>
      <c r="E109" s="16">
        <v>1880</v>
      </c>
      <c r="F109" s="10"/>
      <c r="G109" s="16" t="s">
        <v>146</v>
      </c>
      <c r="H109" s="16" t="s">
        <v>145</v>
      </c>
    </row>
    <row r="110" spans="1:8" ht="24.95" customHeight="1" x14ac:dyDescent="0.25">
      <c r="A110" s="16" t="s">
        <v>92</v>
      </c>
      <c r="B110" s="16">
        <v>99</v>
      </c>
      <c r="C110" s="16">
        <v>21</v>
      </c>
      <c r="D110" s="10">
        <f t="shared" si="17"/>
        <v>0.21212121212121213</v>
      </c>
      <c r="E110" s="16"/>
      <c r="F110" s="10"/>
      <c r="G110" s="16" t="s">
        <v>145</v>
      </c>
      <c r="H110" s="16" t="s">
        <v>146</v>
      </c>
    </row>
    <row r="111" spans="1:8" ht="24.95" customHeight="1" x14ac:dyDescent="0.25">
      <c r="A111" s="16" t="s">
        <v>94</v>
      </c>
      <c r="B111" s="16">
        <v>6571</v>
      </c>
      <c r="C111" s="16">
        <v>1769</v>
      </c>
      <c r="D111" s="10">
        <f t="shared" si="17"/>
        <v>0.26921320955714501</v>
      </c>
      <c r="E111" s="16">
        <v>1331</v>
      </c>
      <c r="F111" s="10">
        <f t="shared" ref="F111:F128" si="19">SUM(E111/C111)</f>
        <v>0.75240248728094972</v>
      </c>
      <c r="G111" s="16" t="s">
        <v>145</v>
      </c>
      <c r="H111" s="16" t="s">
        <v>146</v>
      </c>
    </row>
    <row r="112" spans="1:8" ht="24.95" customHeight="1" x14ac:dyDescent="0.25">
      <c r="A112" s="16" t="s">
        <v>95</v>
      </c>
      <c r="B112" s="16">
        <v>1315</v>
      </c>
      <c r="C112" s="16">
        <v>204</v>
      </c>
      <c r="D112" s="10">
        <f t="shared" si="17"/>
        <v>0.15513307984790875</v>
      </c>
      <c r="E112" s="16">
        <v>118</v>
      </c>
      <c r="F112" s="10">
        <f t="shared" si="19"/>
        <v>0.57843137254901966</v>
      </c>
      <c r="G112" s="16" t="s">
        <v>145</v>
      </c>
      <c r="H112" s="16" t="s">
        <v>145</v>
      </c>
    </row>
    <row r="113" spans="1:8" ht="24.95" customHeight="1" x14ac:dyDescent="0.25">
      <c r="A113" s="16" t="s">
        <v>96</v>
      </c>
      <c r="B113" s="16">
        <v>866</v>
      </c>
      <c r="C113" s="16">
        <v>248</v>
      </c>
      <c r="D113" s="10">
        <f t="shared" si="17"/>
        <v>0.2863741339491917</v>
      </c>
      <c r="E113" s="16">
        <v>171</v>
      </c>
      <c r="F113" s="10">
        <f t="shared" si="19"/>
        <v>0.68951612903225812</v>
      </c>
      <c r="G113" s="16" t="s">
        <v>145</v>
      </c>
      <c r="H113" s="16" t="s">
        <v>146</v>
      </c>
    </row>
    <row r="114" spans="1:8" ht="24.95" customHeight="1" x14ac:dyDescent="0.25">
      <c r="A114" s="16" t="s">
        <v>97</v>
      </c>
      <c r="B114" s="18">
        <v>15448</v>
      </c>
      <c r="C114" s="16">
        <v>6005</v>
      </c>
      <c r="D114" s="10">
        <f t="shared" si="17"/>
        <v>0.38872345934748836</v>
      </c>
      <c r="E114" s="16">
        <v>5001</v>
      </c>
      <c r="F114" s="10">
        <f t="shared" si="19"/>
        <v>0.83280599500416319</v>
      </c>
      <c r="G114" s="16" t="s">
        <v>146</v>
      </c>
      <c r="H114" s="16" t="s">
        <v>146</v>
      </c>
    </row>
    <row r="115" spans="1:8" ht="24.95" customHeight="1" x14ac:dyDescent="0.25">
      <c r="A115" s="16" t="s">
        <v>98</v>
      </c>
      <c r="B115" s="16">
        <v>1588</v>
      </c>
      <c r="C115" s="16">
        <v>1001</v>
      </c>
      <c r="D115" s="10">
        <f t="shared" si="17"/>
        <v>0.63035264483627207</v>
      </c>
      <c r="E115" s="16">
        <v>299</v>
      </c>
      <c r="F115" s="10">
        <f t="shared" si="19"/>
        <v>0.29870129870129869</v>
      </c>
      <c r="G115" s="16" t="s">
        <v>145</v>
      </c>
      <c r="H115" s="16" t="s">
        <v>146</v>
      </c>
    </row>
    <row r="116" spans="1:8" ht="24.95" customHeight="1" x14ac:dyDescent="0.25">
      <c r="A116" s="16" t="s">
        <v>99</v>
      </c>
      <c r="B116" s="16">
        <v>7436</v>
      </c>
      <c r="C116" s="16">
        <v>1315</v>
      </c>
      <c r="D116" s="10">
        <f t="shared" si="17"/>
        <v>0.17684238838084992</v>
      </c>
      <c r="E116" s="16">
        <v>670</v>
      </c>
      <c r="F116" s="10">
        <f t="shared" si="19"/>
        <v>0.50950570342205326</v>
      </c>
      <c r="G116" s="16" t="s">
        <v>145</v>
      </c>
      <c r="H116" s="16" t="s">
        <v>146</v>
      </c>
    </row>
    <row r="117" spans="1:8" ht="24.95" customHeight="1" x14ac:dyDescent="0.25">
      <c r="A117" s="16" t="s">
        <v>100</v>
      </c>
      <c r="B117" s="16">
        <v>5499</v>
      </c>
      <c r="C117" s="16">
        <v>827</v>
      </c>
      <c r="D117" s="10">
        <f t="shared" si="17"/>
        <v>0.15039098017821423</v>
      </c>
      <c r="E117" s="16">
        <v>292</v>
      </c>
      <c r="F117" s="10">
        <f t="shared" si="19"/>
        <v>0.35308343409915355</v>
      </c>
      <c r="G117" s="16" t="s">
        <v>145</v>
      </c>
      <c r="H117" s="16" t="s">
        <v>145</v>
      </c>
    </row>
    <row r="118" spans="1:8" ht="24.95" customHeight="1" x14ac:dyDescent="0.25">
      <c r="A118" s="16" t="s">
        <v>159</v>
      </c>
      <c r="B118" s="16">
        <v>4548</v>
      </c>
      <c r="C118" s="16">
        <v>1617</v>
      </c>
      <c r="D118" s="10">
        <f t="shared" si="17"/>
        <v>0.35554089709762532</v>
      </c>
      <c r="E118" s="16">
        <v>1205</v>
      </c>
      <c r="F118" s="10">
        <f t="shared" si="19"/>
        <v>0.74520717377860235</v>
      </c>
      <c r="G118" s="16" t="s">
        <v>146</v>
      </c>
      <c r="H118" s="16" t="s">
        <v>146</v>
      </c>
    </row>
    <row r="119" spans="1:8" ht="24.95" customHeight="1" x14ac:dyDescent="0.25">
      <c r="A119" s="16" t="s">
        <v>136</v>
      </c>
      <c r="B119" s="16">
        <v>960</v>
      </c>
      <c r="C119" s="16">
        <v>485</v>
      </c>
      <c r="D119" s="10">
        <f t="shared" si="17"/>
        <v>0.50520833333333337</v>
      </c>
      <c r="E119" s="16">
        <v>479</v>
      </c>
      <c r="F119" s="10">
        <f t="shared" si="19"/>
        <v>0.98762886597938149</v>
      </c>
      <c r="G119" s="16" t="s">
        <v>146</v>
      </c>
      <c r="H119" s="16" t="s">
        <v>146</v>
      </c>
    </row>
    <row r="120" spans="1:8" ht="24.95" customHeight="1" x14ac:dyDescent="0.25">
      <c r="A120" s="16" t="s">
        <v>18</v>
      </c>
      <c r="B120" s="16">
        <v>785</v>
      </c>
      <c r="C120" s="16">
        <v>225</v>
      </c>
      <c r="D120" s="10">
        <f t="shared" si="17"/>
        <v>0.28662420382165604</v>
      </c>
      <c r="E120" s="16">
        <v>202</v>
      </c>
      <c r="F120" s="10">
        <f t="shared" si="19"/>
        <v>0.89777777777777779</v>
      </c>
      <c r="G120" s="16" t="s">
        <v>146</v>
      </c>
      <c r="H120" s="16" t="s">
        <v>146</v>
      </c>
    </row>
    <row r="121" spans="1:8" ht="24.95" customHeight="1" x14ac:dyDescent="0.25">
      <c r="A121" s="16" t="s">
        <v>122</v>
      </c>
      <c r="B121" s="16">
        <v>714</v>
      </c>
      <c r="C121" s="16">
        <v>159</v>
      </c>
      <c r="D121" s="10">
        <f t="shared" si="17"/>
        <v>0.22268907563025211</v>
      </c>
      <c r="E121" s="16">
        <v>104</v>
      </c>
      <c r="F121" s="10">
        <f t="shared" si="19"/>
        <v>0.65408805031446537</v>
      </c>
      <c r="G121" s="16" t="s">
        <v>145</v>
      </c>
      <c r="H121" s="16" t="s">
        <v>146</v>
      </c>
    </row>
    <row r="122" spans="1:8" ht="24.95" customHeight="1" x14ac:dyDescent="0.25">
      <c r="A122" s="16" t="s">
        <v>19</v>
      </c>
      <c r="B122" s="16">
        <v>4496</v>
      </c>
      <c r="C122" s="16">
        <v>708</v>
      </c>
      <c r="D122" s="10">
        <f t="shared" si="17"/>
        <v>0.15747330960854092</v>
      </c>
      <c r="E122" s="16">
        <v>326</v>
      </c>
      <c r="F122" s="10">
        <f t="shared" si="19"/>
        <v>0.46045197740112992</v>
      </c>
      <c r="G122" s="16" t="s">
        <v>146</v>
      </c>
      <c r="H122" s="16" t="s">
        <v>145</v>
      </c>
    </row>
    <row r="123" spans="1:8" ht="24.95" customHeight="1" x14ac:dyDescent="0.25">
      <c r="A123" s="16" t="s">
        <v>102</v>
      </c>
      <c r="B123" s="16">
        <v>2321</v>
      </c>
      <c r="C123" s="16">
        <v>1070</v>
      </c>
      <c r="D123" s="10">
        <f t="shared" si="17"/>
        <v>0.46100818612666955</v>
      </c>
      <c r="E123" s="16">
        <v>1017</v>
      </c>
      <c r="F123" s="10">
        <f t="shared" si="19"/>
        <v>0.95046728971962613</v>
      </c>
      <c r="G123" s="16" t="s">
        <v>146</v>
      </c>
      <c r="H123" s="16" t="s">
        <v>146</v>
      </c>
    </row>
    <row r="124" spans="1:8" ht="24.95" customHeight="1" x14ac:dyDescent="0.25">
      <c r="A124" s="16" t="s">
        <v>103</v>
      </c>
      <c r="B124" s="16">
        <v>868</v>
      </c>
      <c r="C124" s="16">
        <v>238</v>
      </c>
      <c r="D124" s="10">
        <f t="shared" si="17"/>
        <v>0.27419354838709675</v>
      </c>
      <c r="E124" s="16">
        <v>123</v>
      </c>
      <c r="F124" s="10">
        <f t="shared" si="19"/>
        <v>0.51680672268907568</v>
      </c>
      <c r="G124" s="16" t="s">
        <v>145</v>
      </c>
      <c r="H124" s="16" t="s">
        <v>146</v>
      </c>
    </row>
    <row r="125" spans="1:8" ht="24.95" customHeight="1" x14ac:dyDescent="0.25">
      <c r="A125" s="16" t="s">
        <v>160</v>
      </c>
      <c r="B125" s="16">
        <v>1041</v>
      </c>
      <c r="C125" s="16">
        <v>248</v>
      </c>
      <c r="D125" s="10">
        <f t="shared" si="17"/>
        <v>0.23823246878001922</v>
      </c>
      <c r="E125" s="16">
        <v>74</v>
      </c>
      <c r="F125" s="10">
        <f t="shared" si="19"/>
        <v>0.29838709677419356</v>
      </c>
      <c r="G125" s="16" t="s">
        <v>145</v>
      </c>
      <c r="H125" s="16" t="s">
        <v>146</v>
      </c>
    </row>
    <row r="126" spans="1:8" ht="24.95" customHeight="1" x14ac:dyDescent="0.25">
      <c r="A126" s="16" t="s">
        <v>104</v>
      </c>
      <c r="B126" s="16">
        <v>2540</v>
      </c>
      <c r="C126" s="16">
        <v>814</v>
      </c>
      <c r="D126" s="10">
        <f t="shared" si="17"/>
        <v>0.32047244094488186</v>
      </c>
      <c r="E126" s="16">
        <v>623</v>
      </c>
      <c r="F126" s="10">
        <f t="shared" si="19"/>
        <v>0.76535626535626533</v>
      </c>
      <c r="G126" s="16" t="s">
        <v>145</v>
      </c>
      <c r="H126" s="16" t="s">
        <v>146</v>
      </c>
    </row>
    <row r="127" spans="1:8" ht="24.95" customHeight="1" x14ac:dyDescent="0.25">
      <c r="A127" s="16" t="s">
        <v>161</v>
      </c>
      <c r="B127" s="16">
        <v>1435</v>
      </c>
      <c r="C127" s="16">
        <v>525</v>
      </c>
      <c r="D127" s="10">
        <f t="shared" si="17"/>
        <v>0.36585365853658536</v>
      </c>
      <c r="E127" s="16">
        <v>272</v>
      </c>
      <c r="F127" s="10">
        <f t="shared" si="19"/>
        <v>0.51809523809523805</v>
      </c>
      <c r="G127" s="16" t="s">
        <v>145</v>
      </c>
      <c r="H127" s="16" t="s">
        <v>146</v>
      </c>
    </row>
    <row r="128" spans="1:8" ht="24.95" customHeight="1" x14ac:dyDescent="0.25">
      <c r="A128" s="16" t="s">
        <v>105</v>
      </c>
      <c r="B128" s="16">
        <v>718</v>
      </c>
      <c r="C128" s="16">
        <v>283</v>
      </c>
      <c r="D128" s="10">
        <f t="shared" ref="D128:D130" si="20">SUM(C128/B128)</f>
        <v>0.39415041782729804</v>
      </c>
      <c r="E128" s="16">
        <v>275</v>
      </c>
      <c r="F128" s="10">
        <f t="shared" si="19"/>
        <v>0.9717314487632509</v>
      </c>
      <c r="G128" s="16" t="s">
        <v>146</v>
      </c>
      <c r="H128" s="16" t="s">
        <v>146</v>
      </c>
    </row>
    <row r="129" spans="1:8" ht="24.95" customHeight="1" x14ac:dyDescent="0.25">
      <c r="A129" s="16" t="s">
        <v>106</v>
      </c>
      <c r="B129" s="16">
        <v>1608</v>
      </c>
      <c r="C129" s="16">
        <v>507</v>
      </c>
      <c r="D129" s="10">
        <f t="shared" si="20"/>
        <v>0.31529850746268656</v>
      </c>
      <c r="E129" s="16">
        <v>180</v>
      </c>
      <c r="F129" s="10">
        <f t="shared" ref="F129:F131" si="21">SUM(E129/C129)</f>
        <v>0.35502958579881655</v>
      </c>
      <c r="G129" s="16" t="s">
        <v>145</v>
      </c>
      <c r="H129" s="16" t="s">
        <v>146</v>
      </c>
    </row>
    <row r="130" spans="1:8" ht="24.95" customHeight="1" x14ac:dyDescent="0.25">
      <c r="A130" s="16" t="s">
        <v>162</v>
      </c>
      <c r="B130" s="16">
        <v>1526</v>
      </c>
      <c r="C130" s="16">
        <v>296</v>
      </c>
      <c r="D130" s="10">
        <f t="shared" si="20"/>
        <v>0.19397116644823068</v>
      </c>
      <c r="E130" s="16">
        <v>127</v>
      </c>
      <c r="F130" s="10">
        <f t="shared" si="21"/>
        <v>0.42905405405405406</v>
      </c>
      <c r="G130" s="16" t="s">
        <v>145</v>
      </c>
      <c r="H130" s="16" t="s">
        <v>146</v>
      </c>
    </row>
    <row r="131" spans="1:8" ht="24.95" customHeight="1" x14ac:dyDescent="0.25">
      <c r="A131" s="16" t="s">
        <v>107</v>
      </c>
      <c r="B131" s="16">
        <v>4561</v>
      </c>
      <c r="C131" s="16">
        <v>1094</v>
      </c>
      <c r="D131" s="10">
        <f t="shared" ref="D131:D139" si="22">SUM(C131/B131)</f>
        <v>0.23985967989475993</v>
      </c>
      <c r="E131" s="16">
        <v>548</v>
      </c>
      <c r="F131" s="10">
        <f t="shared" si="21"/>
        <v>0.5009140767824497</v>
      </c>
      <c r="G131" s="16" t="s">
        <v>145</v>
      </c>
      <c r="H131" s="16" t="s">
        <v>146</v>
      </c>
    </row>
    <row r="132" spans="1:8" ht="24.95" customHeight="1" x14ac:dyDescent="0.25">
      <c r="A132" s="16" t="s">
        <v>108</v>
      </c>
      <c r="B132" s="16">
        <v>1028</v>
      </c>
      <c r="C132" s="16">
        <v>139</v>
      </c>
      <c r="D132" s="10">
        <f t="shared" si="22"/>
        <v>0.13521400778210116</v>
      </c>
      <c r="E132" s="16">
        <v>39</v>
      </c>
      <c r="F132" s="10">
        <f t="shared" ref="F132:F139" si="23">SUM(E132/C132)</f>
        <v>0.2805755395683453</v>
      </c>
      <c r="G132" s="16" t="s">
        <v>145</v>
      </c>
      <c r="H132" s="16" t="s">
        <v>145</v>
      </c>
    </row>
    <row r="133" spans="1:8" ht="24.95" customHeight="1" x14ac:dyDescent="0.25">
      <c r="A133" s="16" t="s">
        <v>163</v>
      </c>
      <c r="B133" s="16">
        <v>2464</v>
      </c>
      <c r="C133" s="16">
        <v>477</v>
      </c>
      <c r="D133" s="10">
        <f t="shared" si="22"/>
        <v>0.19358766233766234</v>
      </c>
      <c r="E133" s="16">
        <v>184</v>
      </c>
      <c r="F133" s="10">
        <f t="shared" si="23"/>
        <v>0.38574423480083858</v>
      </c>
      <c r="G133" s="16" t="s">
        <v>145</v>
      </c>
      <c r="H133" s="16" t="s">
        <v>145</v>
      </c>
    </row>
    <row r="134" spans="1:8" ht="24.95" customHeight="1" x14ac:dyDescent="0.25">
      <c r="A134" s="16" t="s">
        <v>124</v>
      </c>
      <c r="B134" s="16">
        <v>893</v>
      </c>
      <c r="C134" s="16">
        <v>149</v>
      </c>
      <c r="D134" s="10">
        <f t="shared" si="22"/>
        <v>0.16685330347144456</v>
      </c>
      <c r="E134" s="16">
        <v>50</v>
      </c>
      <c r="F134" s="10">
        <f t="shared" si="23"/>
        <v>0.33557046979865773</v>
      </c>
      <c r="G134" s="16" t="s">
        <v>146</v>
      </c>
      <c r="H134" s="16" t="s">
        <v>145</v>
      </c>
    </row>
    <row r="135" spans="1:8" ht="24.95" customHeight="1" x14ac:dyDescent="0.25">
      <c r="A135" s="16" t="s">
        <v>128</v>
      </c>
      <c r="B135" s="16">
        <v>1620</v>
      </c>
      <c r="C135" s="16">
        <v>257</v>
      </c>
      <c r="D135" s="10">
        <f t="shared" si="22"/>
        <v>0.15864197530864196</v>
      </c>
      <c r="E135" s="16">
        <v>58</v>
      </c>
      <c r="F135" s="10">
        <f t="shared" si="23"/>
        <v>0.22568093385214008</v>
      </c>
      <c r="G135" s="16" t="s">
        <v>145</v>
      </c>
      <c r="H135" s="16" t="s">
        <v>145</v>
      </c>
    </row>
    <row r="136" spans="1:8" ht="24.95" customHeight="1" x14ac:dyDescent="0.25">
      <c r="A136" s="16" t="s">
        <v>109</v>
      </c>
      <c r="B136" s="16">
        <v>971</v>
      </c>
      <c r="C136" s="16">
        <v>185</v>
      </c>
      <c r="D136" s="10">
        <f t="shared" si="22"/>
        <v>0.19052523171987643</v>
      </c>
      <c r="E136" s="16">
        <v>79</v>
      </c>
      <c r="F136" s="10">
        <f t="shared" si="23"/>
        <v>0.42702702702702705</v>
      </c>
      <c r="G136" s="16" t="s">
        <v>145</v>
      </c>
      <c r="H136" s="16" t="s">
        <v>146</v>
      </c>
    </row>
    <row r="137" spans="1:8" ht="24.95" customHeight="1" x14ac:dyDescent="0.25">
      <c r="A137" s="16" t="s">
        <v>164</v>
      </c>
      <c r="B137" s="16">
        <v>441</v>
      </c>
      <c r="C137" s="16">
        <v>105</v>
      </c>
      <c r="D137" s="10">
        <f t="shared" si="22"/>
        <v>0.23809523809523808</v>
      </c>
      <c r="E137" s="16">
        <v>46</v>
      </c>
      <c r="F137" s="10">
        <f t="shared" si="23"/>
        <v>0.43809523809523809</v>
      </c>
      <c r="G137" s="16" t="s">
        <v>145</v>
      </c>
      <c r="H137" s="16" t="s">
        <v>146</v>
      </c>
    </row>
    <row r="138" spans="1:8" ht="24.95" customHeight="1" x14ac:dyDescent="0.25">
      <c r="A138" s="16" t="s">
        <v>110</v>
      </c>
      <c r="B138" s="16">
        <v>1681</v>
      </c>
      <c r="C138" s="16">
        <v>409</v>
      </c>
      <c r="D138" s="10">
        <f t="shared" si="22"/>
        <v>0.24330755502676979</v>
      </c>
      <c r="E138" s="16">
        <v>256</v>
      </c>
      <c r="F138" s="10">
        <f t="shared" si="23"/>
        <v>0.62591687041564792</v>
      </c>
      <c r="G138" s="16" t="s">
        <v>145</v>
      </c>
      <c r="H138" s="16" t="s">
        <v>145</v>
      </c>
    </row>
    <row r="139" spans="1:8" ht="24.95" customHeight="1" x14ac:dyDescent="0.25">
      <c r="A139" s="16" t="s">
        <v>111</v>
      </c>
      <c r="B139" s="16">
        <v>618</v>
      </c>
      <c r="C139" s="16">
        <v>115</v>
      </c>
      <c r="D139" s="10">
        <f t="shared" si="22"/>
        <v>0.18608414239482202</v>
      </c>
      <c r="E139" s="16">
        <v>50</v>
      </c>
      <c r="F139" s="10">
        <f t="shared" si="23"/>
        <v>0.43478260869565216</v>
      </c>
      <c r="G139" s="16" t="s">
        <v>145</v>
      </c>
      <c r="H139" s="16" t="s">
        <v>146</v>
      </c>
    </row>
    <row r="140" spans="1:8" ht="24.95" customHeight="1" x14ac:dyDescent="0.25">
      <c r="A140" s="16" t="s">
        <v>129</v>
      </c>
      <c r="B140" s="16">
        <v>2404</v>
      </c>
      <c r="C140" s="16">
        <v>324</v>
      </c>
      <c r="D140" s="19">
        <f t="shared" ref="D140:D141" si="24">SUM(C140/B140)</f>
        <v>0.13477537437603992</v>
      </c>
      <c r="E140" s="16"/>
      <c r="F140" s="19"/>
      <c r="G140" s="16" t="s">
        <v>145</v>
      </c>
      <c r="H140" s="16" t="s">
        <v>146</v>
      </c>
    </row>
    <row r="141" spans="1:8" ht="24.95" customHeight="1" x14ac:dyDescent="0.25">
      <c r="A141" s="16" t="s">
        <v>112</v>
      </c>
      <c r="B141" s="16">
        <v>8371</v>
      </c>
      <c r="C141" s="16">
        <v>1313</v>
      </c>
      <c r="D141" s="19">
        <f t="shared" si="24"/>
        <v>0.15685103332935132</v>
      </c>
      <c r="E141" s="16">
        <v>837</v>
      </c>
      <c r="F141" s="19">
        <f t="shared" ref="F141:F147" si="25">SUM(E141/C141)</f>
        <v>0.63747143945163742</v>
      </c>
      <c r="G141" s="16" t="s">
        <v>145</v>
      </c>
      <c r="H141" s="16" t="s">
        <v>145</v>
      </c>
    </row>
    <row r="142" spans="1:8" ht="24.95" customHeight="1" x14ac:dyDescent="0.25">
      <c r="A142" s="16" t="s">
        <v>20</v>
      </c>
      <c r="B142" s="16">
        <v>1681</v>
      </c>
      <c r="C142" s="16">
        <v>495</v>
      </c>
      <c r="D142" s="19">
        <f t="shared" ref="D142:D147" si="26">SUM(C142/B142)</f>
        <v>0.29446757882212971</v>
      </c>
      <c r="E142" s="16">
        <v>337</v>
      </c>
      <c r="F142" s="19">
        <f t="shared" si="25"/>
        <v>0.68080808080808086</v>
      </c>
      <c r="G142" s="16" t="s">
        <v>146</v>
      </c>
      <c r="H142" s="16" t="s">
        <v>146</v>
      </c>
    </row>
    <row r="143" spans="1:8" ht="24.95" customHeight="1" x14ac:dyDescent="0.25">
      <c r="A143" s="16" t="s">
        <v>113</v>
      </c>
      <c r="B143" s="16">
        <v>351</v>
      </c>
      <c r="C143" s="16">
        <v>192</v>
      </c>
      <c r="D143" s="19">
        <f t="shared" si="26"/>
        <v>0.54700854700854706</v>
      </c>
      <c r="E143" s="16">
        <v>140</v>
      </c>
      <c r="F143" s="19">
        <f t="shared" si="25"/>
        <v>0.72916666666666663</v>
      </c>
      <c r="G143" s="16" t="s">
        <v>146</v>
      </c>
      <c r="H143" s="16" t="s">
        <v>146</v>
      </c>
    </row>
    <row r="144" spans="1:8" ht="24.95" customHeight="1" x14ac:dyDescent="0.25">
      <c r="A144" s="16" t="s">
        <v>114</v>
      </c>
      <c r="B144" s="16">
        <v>2729</v>
      </c>
      <c r="C144" s="16">
        <v>568</v>
      </c>
      <c r="D144" s="19">
        <f t="shared" si="26"/>
        <v>0.20813484792964457</v>
      </c>
      <c r="E144" s="16">
        <v>83</v>
      </c>
      <c r="F144" s="19">
        <f t="shared" si="25"/>
        <v>0.14612676056338028</v>
      </c>
      <c r="G144" s="16" t="s">
        <v>145</v>
      </c>
      <c r="H144" s="16" t="s">
        <v>145</v>
      </c>
    </row>
    <row r="145" spans="1:8" ht="24.95" customHeight="1" x14ac:dyDescent="0.25">
      <c r="A145" s="16" t="s">
        <v>115</v>
      </c>
      <c r="B145" s="16">
        <v>1173</v>
      </c>
      <c r="C145" s="16">
        <v>232</v>
      </c>
      <c r="D145" s="19">
        <f t="shared" si="26"/>
        <v>0.19778346121057119</v>
      </c>
      <c r="E145" s="16">
        <v>130</v>
      </c>
      <c r="F145" s="19">
        <f t="shared" si="25"/>
        <v>0.56034482758620685</v>
      </c>
      <c r="G145" s="16" t="s">
        <v>145</v>
      </c>
      <c r="H145" s="16" t="s">
        <v>146</v>
      </c>
    </row>
    <row r="146" spans="1:8" ht="24.95" customHeight="1" x14ac:dyDescent="0.25">
      <c r="A146" s="16" t="s">
        <v>116</v>
      </c>
      <c r="B146" s="16">
        <v>253</v>
      </c>
      <c r="C146" s="16">
        <v>39</v>
      </c>
      <c r="D146" s="19">
        <f t="shared" si="26"/>
        <v>0.1541501976284585</v>
      </c>
      <c r="E146" s="16">
        <v>10</v>
      </c>
      <c r="F146" s="19">
        <f t="shared" si="25"/>
        <v>0.25641025641025639</v>
      </c>
      <c r="G146" s="16" t="s">
        <v>145</v>
      </c>
      <c r="H146" s="16" t="s">
        <v>145</v>
      </c>
    </row>
    <row r="147" spans="1:8" ht="24.95" customHeight="1" thickBot="1" x14ac:dyDescent="0.3">
      <c r="A147" s="17" t="s">
        <v>125</v>
      </c>
      <c r="B147" s="17">
        <v>2931</v>
      </c>
      <c r="C147" s="17">
        <v>952</v>
      </c>
      <c r="D147" s="19">
        <f t="shared" si="26"/>
        <v>0.32480382122142615</v>
      </c>
      <c r="E147" s="17">
        <v>473</v>
      </c>
      <c r="F147" s="19">
        <f t="shared" si="25"/>
        <v>0.49684873949579833</v>
      </c>
      <c r="G147" s="17" t="s">
        <v>145</v>
      </c>
      <c r="H147" s="17" t="s">
        <v>146</v>
      </c>
    </row>
    <row r="148" spans="1:8" customFormat="1" ht="17.25" thickTop="1" thickBot="1" x14ac:dyDescent="0.3">
      <c r="A148" s="11" t="s">
        <v>3</v>
      </c>
      <c r="B148" s="13">
        <f>SUM(B3:B147)</f>
        <v>349452</v>
      </c>
      <c r="C148" s="13">
        <f>SUM(C3:C147)</f>
        <v>97168</v>
      </c>
      <c r="D148" s="14">
        <f>SUM(C148/B148)</f>
        <v>0.27805821686526333</v>
      </c>
      <c r="E148" s="13">
        <f>SUM(E3:E147)</f>
        <v>63668</v>
      </c>
      <c r="F148" s="14">
        <f>SUM(E148/C148)</f>
        <v>0.65523629178330312</v>
      </c>
      <c r="G148" s="14"/>
      <c r="H148" s="14"/>
    </row>
    <row r="149" spans="1:8" ht="15.75" thickTop="1" x14ac:dyDescent="0.25">
      <c r="A149" s="3"/>
      <c r="D149" s="4"/>
      <c r="E149" s="4"/>
    </row>
    <row r="150" spans="1:8" x14ac:dyDescent="0.25">
      <c r="A150" s="3"/>
      <c r="D150" s="4"/>
      <c r="E150" s="4"/>
    </row>
    <row r="151" spans="1:8" x14ac:dyDescent="0.25">
      <c r="A151" s="3"/>
      <c r="D151" s="4"/>
      <c r="E151" s="4"/>
    </row>
    <row r="152" spans="1:8" x14ac:dyDescent="0.25">
      <c r="A152" s="3"/>
      <c r="D152" s="4"/>
      <c r="E152" s="4"/>
    </row>
    <row r="153" spans="1:8" x14ac:dyDescent="0.25">
      <c r="A153" s="3"/>
      <c r="D153" s="4"/>
      <c r="E153" s="4"/>
    </row>
    <row r="154" spans="1:8" x14ac:dyDescent="0.25">
      <c r="A154" s="3"/>
      <c r="D154" s="4"/>
      <c r="E154" s="4"/>
    </row>
    <row r="155" spans="1:8" x14ac:dyDescent="0.25">
      <c r="A155" s="3"/>
      <c r="D155" s="4"/>
      <c r="E155" s="4"/>
    </row>
    <row r="156" spans="1:8" x14ac:dyDescent="0.25">
      <c r="A156" s="3"/>
      <c r="D156" s="4"/>
      <c r="E156" s="4"/>
    </row>
    <row r="157" spans="1:8" x14ac:dyDescent="0.25">
      <c r="A157" s="3"/>
      <c r="D157" s="4"/>
      <c r="E157" s="4"/>
    </row>
    <row r="158" spans="1:8" x14ac:dyDescent="0.25">
      <c r="A158" s="3"/>
      <c r="C158" s="9"/>
      <c r="D158" s="4"/>
      <c r="E158" s="4"/>
    </row>
    <row r="159" spans="1:8" x14ac:dyDescent="0.25">
      <c r="A159" s="3"/>
      <c r="D159" s="4"/>
      <c r="E159" s="4"/>
    </row>
    <row r="160" spans="1:8" x14ac:dyDescent="0.25">
      <c r="A160" s="3"/>
      <c r="D160" s="4"/>
      <c r="E160" s="4"/>
    </row>
    <row r="161" spans="1:5" x14ac:dyDescent="0.25">
      <c r="A161" s="3"/>
      <c r="D161" s="4"/>
      <c r="E161" s="4"/>
    </row>
    <row r="162" spans="1:5" x14ac:dyDescent="0.25">
      <c r="A162" s="3"/>
      <c r="D162" s="4"/>
      <c r="E162" s="4"/>
    </row>
    <row r="163" spans="1:5" x14ac:dyDescent="0.25">
      <c r="A163" s="3"/>
      <c r="D163" s="4"/>
      <c r="E163" s="4"/>
    </row>
    <row r="164" spans="1:5" x14ac:dyDescent="0.25">
      <c r="A164" s="3"/>
      <c r="D164" s="4"/>
      <c r="E164" s="4"/>
    </row>
    <row r="165" spans="1:5" x14ac:dyDescent="0.25">
      <c r="A165" s="3"/>
      <c r="D165" s="4"/>
      <c r="E165" s="4"/>
    </row>
    <row r="166" spans="1:5" x14ac:dyDescent="0.25">
      <c r="A166" s="3"/>
      <c r="B166" s="7"/>
      <c r="C166" s="8"/>
      <c r="D166" s="4"/>
      <c r="E166" s="4"/>
    </row>
    <row r="167" spans="1:5" x14ac:dyDescent="0.25">
      <c r="A167" s="3"/>
      <c r="B167" s="7"/>
      <c r="C167" s="8"/>
      <c r="D167" s="4"/>
      <c r="E167" s="4"/>
    </row>
    <row r="168" spans="1:5" x14ac:dyDescent="0.25">
      <c r="A168" s="3"/>
      <c r="D168" s="4"/>
      <c r="E168" s="4"/>
    </row>
    <row r="169" spans="1:5" x14ac:dyDescent="0.25">
      <c r="A169" s="3"/>
      <c r="D169" s="4"/>
      <c r="E169" s="4"/>
    </row>
    <row r="170" spans="1:5" x14ac:dyDescent="0.25">
      <c r="A170" s="3"/>
      <c r="D170" s="4"/>
      <c r="E170" s="4"/>
    </row>
    <row r="171" spans="1:5" x14ac:dyDescent="0.25">
      <c r="A171" s="3"/>
      <c r="D171" s="4"/>
      <c r="E171" s="4"/>
    </row>
    <row r="172" spans="1:5" x14ac:dyDescent="0.25">
      <c r="A172" s="3"/>
      <c r="D172" s="4"/>
      <c r="E172" s="4"/>
    </row>
    <row r="173" spans="1:5" x14ac:dyDescent="0.25">
      <c r="A173" s="3"/>
      <c r="D173" s="4"/>
      <c r="E173" s="4"/>
    </row>
    <row r="174" spans="1:5" x14ac:dyDescent="0.25">
      <c r="A174" s="3"/>
      <c r="D174" s="4"/>
      <c r="E174" s="4"/>
    </row>
    <row r="175" spans="1:5" x14ac:dyDescent="0.25">
      <c r="A175" s="3"/>
      <c r="D175" s="4"/>
      <c r="E175" s="4"/>
    </row>
    <row r="176" spans="1:5" x14ac:dyDescent="0.25">
      <c r="A176" s="3"/>
      <c r="D176" s="4"/>
      <c r="E176" s="4"/>
    </row>
    <row r="177" spans="1:5" x14ac:dyDescent="0.25">
      <c r="A177" s="3"/>
      <c r="D177" s="4"/>
      <c r="E177" s="4"/>
    </row>
    <row r="178" spans="1:5" x14ac:dyDescent="0.25">
      <c r="A178" s="3"/>
      <c r="D178" s="4"/>
      <c r="E178" s="4"/>
    </row>
    <row r="179" spans="1:5" x14ac:dyDescent="0.25">
      <c r="A179" s="3"/>
      <c r="D179" s="4"/>
      <c r="E179" s="4"/>
    </row>
    <row r="180" spans="1:5" x14ac:dyDescent="0.25">
      <c r="A180" s="3"/>
      <c r="D180" s="4"/>
      <c r="E180" s="4"/>
    </row>
    <row r="181" spans="1:5" x14ac:dyDescent="0.25">
      <c r="A181" s="3"/>
      <c r="D181" s="4"/>
      <c r="E181" s="4"/>
    </row>
    <row r="182" spans="1:5" x14ac:dyDescent="0.25">
      <c r="A182" s="3"/>
      <c r="D182" s="4"/>
      <c r="E182" s="4"/>
    </row>
    <row r="183" spans="1:5" x14ac:dyDescent="0.25">
      <c r="A183" s="3"/>
      <c r="D183" s="4"/>
      <c r="E183" s="4"/>
    </row>
    <row r="184" spans="1:5" x14ac:dyDescent="0.25">
      <c r="A184" s="3"/>
      <c r="D184" s="4"/>
      <c r="E184" s="4"/>
    </row>
    <row r="185" spans="1:5" x14ac:dyDescent="0.25">
      <c r="A185" s="3"/>
      <c r="D185" s="4"/>
      <c r="E185" s="4"/>
    </row>
    <row r="186" spans="1:5" x14ac:dyDescent="0.25">
      <c r="A186" s="3"/>
      <c r="D186" s="4"/>
      <c r="E186" s="4"/>
    </row>
    <row r="187" spans="1:5" x14ac:dyDescent="0.25">
      <c r="A187" s="3"/>
      <c r="D187" s="4"/>
      <c r="E187" s="4"/>
    </row>
    <row r="188" spans="1:5" x14ac:dyDescent="0.25">
      <c r="A188" s="3"/>
      <c r="D188" s="4"/>
      <c r="E188" s="4"/>
    </row>
    <row r="189" spans="1:5" x14ac:dyDescent="0.25">
      <c r="A189" s="3"/>
      <c r="D189" s="4"/>
      <c r="E189" s="4"/>
    </row>
    <row r="190" spans="1:5" x14ac:dyDescent="0.25">
      <c r="A190" s="3"/>
      <c r="D190" s="4"/>
      <c r="E190" s="4"/>
    </row>
    <row r="191" spans="1:5" x14ac:dyDescent="0.25">
      <c r="A191" s="3"/>
      <c r="D191" s="4"/>
      <c r="E191" s="4"/>
    </row>
    <row r="192" spans="1:5" x14ac:dyDescent="0.25">
      <c r="A192" s="3"/>
      <c r="D192" s="4"/>
      <c r="E192" s="4"/>
    </row>
    <row r="193" spans="1:5" x14ac:dyDescent="0.25">
      <c r="A193" s="3"/>
      <c r="D193" s="4"/>
      <c r="E193" s="4"/>
    </row>
    <row r="194" spans="1:5" x14ac:dyDescent="0.25">
      <c r="A194" s="3"/>
      <c r="D194" s="4"/>
      <c r="E194" s="4"/>
    </row>
    <row r="195" spans="1:5" x14ac:dyDescent="0.25">
      <c r="A195" s="3"/>
      <c r="D195" s="4"/>
      <c r="E195" s="4"/>
    </row>
    <row r="196" spans="1:5" x14ac:dyDescent="0.25">
      <c r="A196" s="3"/>
      <c r="D196" s="4"/>
      <c r="E196" s="4"/>
    </row>
    <row r="197" spans="1:5" x14ac:dyDescent="0.25">
      <c r="A197" s="3"/>
      <c r="D197" s="4"/>
      <c r="E197" s="4"/>
    </row>
    <row r="198" spans="1:5" x14ac:dyDescent="0.25">
      <c r="A198" s="3"/>
      <c r="D198" s="4"/>
      <c r="E198" s="4"/>
    </row>
    <row r="199" spans="1:5" x14ac:dyDescent="0.25">
      <c r="A199" s="3"/>
      <c r="D199" s="4"/>
      <c r="E199" s="4"/>
    </row>
    <row r="200" spans="1:5" x14ac:dyDescent="0.25">
      <c r="A200" s="3"/>
      <c r="D200" s="4"/>
      <c r="E200" s="4"/>
    </row>
    <row r="201" spans="1:5" x14ac:dyDescent="0.25">
      <c r="A201" s="3"/>
      <c r="D201" s="4"/>
      <c r="E201" s="4"/>
    </row>
    <row r="202" spans="1:5" x14ac:dyDescent="0.25">
      <c r="A202" s="3"/>
      <c r="D202" s="4"/>
      <c r="E202" s="4"/>
    </row>
    <row r="203" spans="1:5" x14ac:dyDescent="0.25">
      <c r="A203" s="3"/>
      <c r="D203" s="4"/>
      <c r="E203" s="4"/>
    </row>
    <row r="204" spans="1:5" x14ac:dyDescent="0.25">
      <c r="A204" s="3"/>
      <c r="D204" s="4"/>
      <c r="E204" s="4"/>
    </row>
    <row r="205" spans="1:5" x14ac:dyDescent="0.25">
      <c r="A205" s="3"/>
      <c r="D205" s="4"/>
      <c r="E205" s="4"/>
    </row>
    <row r="206" spans="1:5" x14ac:dyDescent="0.25">
      <c r="A206" s="3"/>
      <c r="D206" s="4"/>
      <c r="E206" s="4"/>
    </row>
    <row r="207" spans="1:5" x14ac:dyDescent="0.25">
      <c r="A207" s="3"/>
      <c r="D207" s="4"/>
      <c r="E207" s="4"/>
    </row>
    <row r="208" spans="1:5" x14ac:dyDescent="0.25">
      <c r="A208" s="3"/>
      <c r="D208" s="4"/>
      <c r="E208" s="4"/>
    </row>
    <row r="209" spans="1:5" x14ac:dyDescent="0.25">
      <c r="A209" s="3"/>
      <c r="D209" s="4"/>
      <c r="E209" s="4"/>
    </row>
    <row r="210" spans="1:5" x14ac:dyDescent="0.25">
      <c r="A210" s="3"/>
      <c r="D210" s="4"/>
      <c r="E210" s="4"/>
    </row>
    <row r="211" spans="1:5" x14ac:dyDescent="0.25">
      <c r="A211" s="3"/>
      <c r="D211" s="4"/>
      <c r="E211" s="4"/>
    </row>
    <row r="212" spans="1:5" x14ac:dyDescent="0.25">
      <c r="A212" s="3"/>
      <c r="D212" s="4"/>
      <c r="E212" s="4"/>
    </row>
    <row r="213" spans="1:5" x14ac:dyDescent="0.25">
      <c r="A213" s="3"/>
      <c r="D213" s="4"/>
      <c r="E213" s="4"/>
    </row>
    <row r="214" spans="1:5" x14ac:dyDescent="0.25">
      <c r="A214" s="3"/>
      <c r="D214" s="4"/>
      <c r="E214" s="4"/>
    </row>
    <row r="215" spans="1:5" x14ac:dyDescent="0.25">
      <c r="A215" s="3"/>
      <c r="D215" s="4"/>
      <c r="E215" s="4"/>
    </row>
    <row r="216" spans="1:5" x14ac:dyDescent="0.25">
      <c r="A216" s="3"/>
      <c r="D216" s="4"/>
      <c r="E216" s="4"/>
    </row>
    <row r="217" spans="1:5" x14ac:dyDescent="0.25">
      <c r="A217" s="3"/>
      <c r="D217" s="4"/>
      <c r="E217" s="4"/>
    </row>
    <row r="218" spans="1:5" x14ac:dyDescent="0.25">
      <c r="A218" s="3"/>
      <c r="D218" s="4"/>
      <c r="E218" s="4"/>
    </row>
    <row r="219" spans="1:5" x14ac:dyDescent="0.25">
      <c r="A219" s="3"/>
      <c r="D219" s="4"/>
      <c r="E219" s="4"/>
    </row>
    <row r="220" spans="1:5" x14ac:dyDescent="0.25">
      <c r="A220" s="3"/>
      <c r="D220" s="4"/>
      <c r="E220" s="4"/>
    </row>
    <row r="221" spans="1:5" x14ac:dyDescent="0.25">
      <c r="A221" s="3"/>
      <c r="D221" s="4"/>
      <c r="E221" s="4"/>
    </row>
    <row r="222" spans="1:5" x14ac:dyDescent="0.25">
      <c r="A222" s="3"/>
      <c r="D222" s="4"/>
      <c r="E222" s="4"/>
    </row>
    <row r="223" spans="1:5" x14ac:dyDescent="0.25">
      <c r="A223" s="3"/>
      <c r="D223" s="4"/>
      <c r="E223" s="4"/>
    </row>
    <row r="224" spans="1:5" x14ac:dyDescent="0.25">
      <c r="A224" s="3"/>
      <c r="D224" s="4"/>
      <c r="E224" s="4"/>
    </row>
    <row r="225" spans="1:5" x14ac:dyDescent="0.25">
      <c r="A225" s="3"/>
      <c r="D225" s="4"/>
      <c r="E225" s="4"/>
    </row>
    <row r="226" spans="1:5" x14ac:dyDescent="0.25">
      <c r="A226" s="3"/>
      <c r="D226" s="4"/>
      <c r="E226" s="4"/>
    </row>
    <row r="227" spans="1:5" x14ac:dyDescent="0.25">
      <c r="A227" s="3"/>
      <c r="D227" s="4"/>
      <c r="E227" s="4"/>
    </row>
    <row r="228" spans="1:5" x14ac:dyDescent="0.25">
      <c r="A228" s="3"/>
      <c r="D228" s="4"/>
      <c r="E228" s="4"/>
    </row>
    <row r="229" spans="1:5" x14ac:dyDescent="0.25">
      <c r="A229" s="3"/>
      <c r="D229" s="4"/>
      <c r="E229" s="4"/>
    </row>
    <row r="230" spans="1:5" x14ac:dyDescent="0.25">
      <c r="A230" s="3"/>
      <c r="D230" s="4"/>
      <c r="E230" s="4"/>
    </row>
    <row r="231" spans="1:5" x14ac:dyDescent="0.25">
      <c r="A231" s="3"/>
      <c r="D231" s="4"/>
      <c r="E231" s="4"/>
    </row>
    <row r="232" spans="1:5" x14ac:dyDescent="0.25">
      <c r="A232" s="3"/>
      <c r="D232" s="4"/>
      <c r="E232" s="4"/>
    </row>
    <row r="233" spans="1:5" x14ac:dyDescent="0.25">
      <c r="A233" s="3"/>
      <c r="D233" s="4"/>
      <c r="E233" s="4"/>
    </row>
    <row r="234" spans="1:5" x14ac:dyDescent="0.25">
      <c r="A234" s="3"/>
      <c r="D234" s="4"/>
      <c r="E234" s="4"/>
    </row>
    <row r="235" spans="1:5" x14ac:dyDescent="0.25">
      <c r="A235" s="3"/>
      <c r="D235" s="4"/>
      <c r="E235" s="4"/>
    </row>
    <row r="236" spans="1:5" x14ac:dyDescent="0.25">
      <c r="A236" s="3"/>
      <c r="D236" s="4"/>
      <c r="E236" s="4"/>
    </row>
    <row r="237" spans="1:5" x14ac:dyDescent="0.25">
      <c r="A237" s="3"/>
      <c r="D237" s="4"/>
      <c r="E237" s="4"/>
    </row>
    <row r="238" spans="1:5" x14ac:dyDescent="0.25">
      <c r="A238" s="3"/>
      <c r="D238" s="4"/>
      <c r="E238" s="4"/>
    </row>
    <row r="239" spans="1:5" x14ac:dyDescent="0.25">
      <c r="A239" s="3"/>
      <c r="D239" s="4"/>
      <c r="E239" s="4"/>
    </row>
    <row r="240" spans="1:5" x14ac:dyDescent="0.25">
      <c r="A240" s="3"/>
      <c r="D240" s="4"/>
      <c r="E240" s="4"/>
    </row>
    <row r="241" spans="1:5" x14ac:dyDescent="0.25">
      <c r="A241" s="3"/>
      <c r="D241" s="4"/>
      <c r="E241" s="4"/>
    </row>
    <row r="242" spans="1:5" x14ac:dyDescent="0.25">
      <c r="A242" s="3"/>
      <c r="D242" s="4"/>
      <c r="E242" s="4"/>
    </row>
    <row r="243" spans="1:5" x14ac:dyDescent="0.25">
      <c r="A243" s="3"/>
      <c r="D243" s="4"/>
      <c r="E243" s="4"/>
    </row>
    <row r="244" spans="1:5" x14ac:dyDescent="0.25">
      <c r="A244" s="3"/>
      <c r="D244" s="4"/>
      <c r="E244" s="4"/>
    </row>
    <row r="245" spans="1:5" x14ac:dyDescent="0.25">
      <c r="A245" s="3"/>
      <c r="D245" s="4"/>
      <c r="E245" s="4"/>
    </row>
    <row r="246" spans="1:5" x14ac:dyDescent="0.25">
      <c r="A246" s="3"/>
      <c r="D246" s="4"/>
      <c r="E246" s="4"/>
    </row>
    <row r="247" spans="1:5" x14ac:dyDescent="0.25">
      <c r="A247" s="3"/>
      <c r="D247" s="4"/>
      <c r="E247" s="4"/>
    </row>
    <row r="248" spans="1:5" x14ac:dyDescent="0.25">
      <c r="A248" s="3"/>
      <c r="D248" s="4"/>
      <c r="E248" s="4"/>
    </row>
    <row r="249" spans="1:5" x14ac:dyDescent="0.25">
      <c r="A249" s="3"/>
      <c r="D249" s="4"/>
      <c r="E249" s="4"/>
    </row>
    <row r="250" spans="1:5" x14ac:dyDescent="0.25">
      <c r="A250" s="3"/>
      <c r="D250" s="4"/>
      <c r="E250" s="4"/>
    </row>
    <row r="251" spans="1:5" x14ac:dyDescent="0.25">
      <c r="A251" s="3"/>
      <c r="D251" s="4"/>
      <c r="E251" s="4"/>
    </row>
    <row r="252" spans="1:5" x14ac:dyDescent="0.25">
      <c r="A252" s="3"/>
      <c r="D252" s="4"/>
      <c r="E252" s="4"/>
    </row>
    <row r="253" spans="1:5" x14ac:dyDescent="0.25">
      <c r="A253" s="3"/>
      <c r="D253" s="4"/>
      <c r="E253" s="4"/>
    </row>
    <row r="254" spans="1:5" x14ac:dyDescent="0.25">
      <c r="A254" s="3"/>
      <c r="D254" s="4"/>
      <c r="E254" s="4"/>
    </row>
    <row r="255" spans="1:5" x14ac:dyDescent="0.25">
      <c r="A255" s="3"/>
      <c r="D255" s="4"/>
      <c r="E255" s="4"/>
    </row>
    <row r="256" spans="1:5" x14ac:dyDescent="0.25">
      <c r="A256" s="3"/>
      <c r="D256" s="4"/>
      <c r="E256" s="4"/>
    </row>
    <row r="257" spans="1:5" x14ac:dyDescent="0.25">
      <c r="A257" s="3"/>
      <c r="D257" s="4"/>
      <c r="E257" s="4"/>
    </row>
    <row r="258" spans="1:5" x14ac:dyDescent="0.25">
      <c r="A258" s="3"/>
      <c r="D258" s="4"/>
      <c r="E258" s="4"/>
    </row>
    <row r="259" spans="1:5" x14ac:dyDescent="0.25">
      <c r="A259" s="3"/>
      <c r="D259" s="4"/>
      <c r="E259" s="4"/>
    </row>
    <row r="260" spans="1:5" x14ac:dyDescent="0.25">
      <c r="A260" s="3"/>
      <c r="D260" s="4"/>
      <c r="E260" s="4"/>
    </row>
    <row r="261" spans="1:5" x14ac:dyDescent="0.25">
      <c r="A261" s="3"/>
      <c r="D261" s="4"/>
      <c r="E261" s="4"/>
    </row>
    <row r="262" spans="1:5" x14ac:dyDescent="0.25">
      <c r="A262" s="3"/>
      <c r="D262" s="4"/>
      <c r="E262" s="4"/>
    </row>
    <row r="263" spans="1:5" x14ac:dyDescent="0.25">
      <c r="A263" s="3"/>
      <c r="D263" s="4"/>
      <c r="E263" s="4"/>
    </row>
    <row r="264" spans="1:5" x14ac:dyDescent="0.25">
      <c r="A264" s="3"/>
      <c r="D264" s="4"/>
      <c r="E264" s="4"/>
    </row>
    <row r="265" spans="1:5" x14ac:dyDescent="0.25">
      <c r="A265" s="3"/>
      <c r="D265" s="4"/>
      <c r="E265" s="4"/>
    </row>
    <row r="266" spans="1:5" x14ac:dyDescent="0.25">
      <c r="A266" s="3"/>
      <c r="D266" s="4"/>
      <c r="E266" s="4"/>
    </row>
    <row r="267" spans="1:5" x14ac:dyDescent="0.25">
      <c r="A267" s="3"/>
      <c r="D267" s="4"/>
      <c r="E267" s="4"/>
    </row>
    <row r="268" spans="1:5" x14ac:dyDescent="0.25">
      <c r="A268" s="3"/>
      <c r="D268" s="4"/>
      <c r="E268" s="4"/>
    </row>
    <row r="269" spans="1:5" x14ac:dyDescent="0.25">
      <c r="A269" s="3"/>
      <c r="D269" s="4"/>
      <c r="E269" s="4"/>
    </row>
    <row r="270" spans="1:5" x14ac:dyDescent="0.25">
      <c r="A270" s="3"/>
      <c r="D270" s="4"/>
      <c r="E270" s="4"/>
    </row>
    <row r="271" spans="1:5" x14ac:dyDescent="0.25">
      <c r="A271" s="3"/>
      <c r="D271" s="4"/>
      <c r="E271" s="4"/>
    </row>
    <row r="272" spans="1:5" x14ac:dyDescent="0.25">
      <c r="A272" s="3"/>
      <c r="D272" s="4"/>
      <c r="E272" s="4"/>
    </row>
    <row r="273" spans="1:5" x14ac:dyDescent="0.25">
      <c r="A273" s="3"/>
      <c r="D273" s="4"/>
      <c r="E273" s="4"/>
    </row>
    <row r="274" spans="1:5" x14ac:dyDescent="0.25">
      <c r="A274" s="3"/>
      <c r="D274" s="4"/>
      <c r="E274" s="4"/>
    </row>
    <row r="275" spans="1:5" x14ac:dyDescent="0.25">
      <c r="A275" s="3"/>
      <c r="D275" s="4"/>
      <c r="E275" s="4"/>
    </row>
    <row r="276" spans="1:5" x14ac:dyDescent="0.25">
      <c r="A276" s="3"/>
      <c r="D276" s="4"/>
      <c r="E276" s="4"/>
    </row>
    <row r="277" spans="1:5" x14ac:dyDescent="0.25">
      <c r="A277" s="3"/>
      <c r="D277" s="4"/>
      <c r="E277" s="4"/>
    </row>
    <row r="278" spans="1:5" x14ac:dyDescent="0.25">
      <c r="A278" s="3"/>
      <c r="D278" s="4"/>
      <c r="E278" s="4"/>
    </row>
    <row r="279" spans="1:5" x14ac:dyDescent="0.25">
      <c r="A279" s="3"/>
      <c r="D279" s="4"/>
      <c r="E279" s="4"/>
    </row>
    <row r="280" spans="1:5" x14ac:dyDescent="0.25">
      <c r="A280" s="3"/>
      <c r="D280" s="4"/>
      <c r="E280" s="4"/>
    </row>
    <row r="281" spans="1:5" x14ac:dyDescent="0.25">
      <c r="A281" s="3"/>
      <c r="D281" s="4"/>
      <c r="E281" s="4"/>
    </row>
    <row r="282" spans="1:5" x14ac:dyDescent="0.25">
      <c r="A282" s="3"/>
      <c r="D282" s="4"/>
      <c r="E282" s="4"/>
    </row>
    <row r="283" spans="1:5" x14ac:dyDescent="0.25">
      <c r="A283" s="3"/>
      <c r="D283" s="4"/>
      <c r="E283" s="4"/>
    </row>
    <row r="284" spans="1:5" x14ac:dyDescent="0.25">
      <c r="A284" s="3"/>
      <c r="D284" s="4"/>
      <c r="E284" s="4"/>
    </row>
    <row r="285" spans="1:5" x14ac:dyDescent="0.25">
      <c r="A285" s="3"/>
      <c r="D285" s="4"/>
      <c r="E285" s="4"/>
    </row>
    <row r="286" spans="1:5" x14ac:dyDescent="0.25">
      <c r="A286" s="3"/>
      <c r="D286" s="4"/>
      <c r="E286" s="4"/>
    </row>
    <row r="287" spans="1:5" x14ac:dyDescent="0.25">
      <c r="A287" s="3"/>
      <c r="D287" s="4"/>
      <c r="E287" s="4"/>
    </row>
    <row r="288" spans="1:5" x14ac:dyDescent="0.25">
      <c r="A288" s="3"/>
      <c r="D288" s="4"/>
      <c r="E288" s="4"/>
    </row>
    <row r="289" spans="1:5" x14ac:dyDescent="0.25">
      <c r="A289" s="3"/>
      <c r="D289" s="4"/>
      <c r="E289" s="4"/>
    </row>
    <row r="290" spans="1:5" x14ac:dyDescent="0.25">
      <c r="A290" s="3"/>
      <c r="D290" s="4"/>
      <c r="E290" s="4"/>
    </row>
    <row r="291" spans="1:5" x14ac:dyDescent="0.25">
      <c r="A291" s="3"/>
      <c r="D291" s="4"/>
      <c r="E291" s="4"/>
    </row>
    <row r="292" spans="1:5" x14ac:dyDescent="0.25">
      <c r="A292" s="3"/>
      <c r="D292" s="4"/>
      <c r="E292" s="4"/>
    </row>
    <row r="293" spans="1:5" x14ac:dyDescent="0.25">
      <c r="A293" s="3"/>
      <c r="D293" s="4"/>
      <c r="E293" s="4"/>
    </row>
    <row r="294" spans="1:5" x14ac:dyDescent="0.25">
      <c r="A294" s="3"/>
      <c r="D294" s="4"/>
      <c r="E294" s="4"/>
    </row>
    <row r="295" spans="1:5" x14ac:dyDescent="0.25">
      <c r="A295" s="3"/>
      <c r="D295" s="4"/>
      <c r="E295" s="4"/>
    </row>
    <row r="296" spans="1:5" x14ac:dyDescent="0.25">
      <c r="A296" s="3"/>
      <c r="D296" s="4"/>
      <c r="E296" s="4"/>
    </row>
    <row r="297" spans="1:5" x14ac:dyDescent="0.25">
      <c r="A297" s="3"/>
      <c r="D297" s="4"/>
      <c r="E297" s="4"/>
    </row>
    <row r="298" spans="1:5" x14ac:dyDescent="0.25">
      <c r="A298" s="3"/>
      <c r="D298" s="4"/>
      <c r="E298" s="4"/>
    </row>
    <row r="299" spans="1:5" x14ac:dyDescent="0.25">
      <c r="A299" s="3"/>
      <c r="D299" s="4"/>
      <c r="E299" s="4"/>
    </row>
    <row r="300" spans="1:5" x14ac:dyDescent="0.25">
      <c r="A300" s="3"/>
      <c r="D300" s="4"/>
      <c r="E300" s="4"/>
    </row>
    <row r="301" spans="1:5" x14ac:dyDescent="0.25">
      <c r="A301" s="3"/>
      <c r="D301" s="4"/>
      <c r="E301" s="4"/>
    </row>
    <row r="302" spans="1:5" x14ac:dyDescent="0.25">
      <c r="A302" s="3"/>
      <c r="D302" s="4"/>
      <c r="E302" s="4"/>
    </row>
    <row r="303" spans="1:5" x14ac:dyDescent="0.25">
      <c r="A303" s="3"/>
      <c r="D303" s="4"/>
      <c r="E303" s="4"/>
    </row>
    <row r="304" spans="1:5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</sheetData>
  <sortState xmlns:xlrd2="http://schemas.microsoft.com/office/spreadsheetml/2017/richdata2" ref="A3:H147">
    <sortCondition ref="A3"/>
  </sortState>
  <mergeCells count="1">
    <mergeCell ref="A1:H1"/>
  </mergeCells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49E4-7BAF-40C7-B840-C22E4F3C940A}">
  <dimension ref="A1:D25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D1"/>
    </sheetView>
  </sheetViews>
  <sheetFormatPr defaultRowHeight="15" x14ac:dyDescent="0.25"/>
  <cols>
    <col min="1" max="1" width="36" style="4" customWidth="1"/>
    <col min="2" max="2" width="31.5703125" style="5" customWidth="1"/>
    <col min="3" max="3" width="32.28515625" style="5" customWidth="1"/>
    <col min="4" max="4" width="37.5703125" style="5" customWidth="1"/>
  </cols>
  <sheetData>
    <row r="1" spans="1:4" ht="56.25" customHeight="1" thickTop="1" thickBot="1" x14ac:dyDescent="0.3">
      <c r="A1" s="24" t="s">
        <v>165</v>
      </c>
      <c r="B1" s="25"/>
      <c r="C1" s="25"/>
      <c r="D1" s="26"/>
    </row>
    <row r="2" spans="1:4" ht="173.1" customHeight="1" thickTop="1" x14ac:dyDescent="0.25">
      <c r="A2" s="20" t="s">
        <v>0</v>
      </c>
      <c r="B2" s="20" t="s">
        <v>137</v>
      </c>
      <c r="C2" s="20" t="s">
        <v>172</v>
      </c>
      <c r="D2" s="21" t="s">
        <v>170</v>
      </c>
    </row>
    <row r="3" spans="1:4" ht="24.95" customHeight="1" x14ac:dyDescent="0.25">
      <c r="A3" s="16" t="s">
        <v>117</v>
      </c>
      <c r="B3" s="16">
        <v>161</v>
      </c>
      <c r="C3" s="16">
        <v>15</v>
      </c>
      <c r="D3" s="27">
        <f t="shared" ref="D3:D19" si="0">SUM(C3/B3)</f>
        <v>9.3167701863354033E-2</v>
      </c>
    </row>
    <row r="4" spans="1:4" ht="24.95" customHeight="1" x14ac:dyDescent="0.25">
      <c r="A4" s="16" t="s">
        <v>39</v>
      </c>
      <c r="B4" s="16">
        <v>924</v>
      </c>
      <c r="C4" s="16">
        <v>197</v>
      </c>
      <c r="D4" s="27">
        <f t="shared" si="0"/>
        <v>0.2132034632034632</v>
      </c>
    </row>
    <row r="5" spans="1:4" ht="24.95" customHeight="1" x14ac:dyDescent="0.25">
      <c r="A5" s="16" t="s">
        <v>9</v>
      </c>
      <c r="B5" s="16">
        <v>519</v>
      </c>
      <c r="C5" s="16">
        <v>95</v>
      </c>
      <c r="D5" s="27">
        <f t="shared" si="0"/>
        <v>0.18304431599229287</v>
      </c>
    </row>
    <row r="6" spans="1:4" ht="24.95" customHeight="1" x14ac:dyDescent="0.25">
      <c r="A6" s="16" t="s">
        <v>51</v>
      </c>
      <c r="B6" s="16">
        <v>52</v>
      </c>
      <c r="C6" s="16">
        <v>12</v>
      </c>
      <c r="D6" s="27">
        <f t="shared" si="0"/>
        <v>0.23076923076923078</v>
      </c>
    </row>
    <row r="7" spans="1:4" ht="24.95" customHeight="1" x14ac:dyDescent="0.25">
      <c r="A7" s="16" t="s">
        <v>60</v>
      </c>
      <c r="B7" s="16">
        <v>408</v>
      </c>
      <c r="C7" s="16">
        <v>70</v>
      </c>
      <c r="D7" s="27">
        <f t="shared" si="0"/>
        <v>0.17156862745098039</v>
      </c>
    </row>
    <row r="8" spans="1:4" ht="24.95" customHeight="1" x14ac:dyDescent="0.25">
      <c r="A8" s="16" t="s">
        <v>133</v>
      </c>
      <c r="B8" s="16">
        <v>403</v>
      </c>
      <c r="C8" s="16">
        <v>8</v>
      </c>
      <c r="D8" s="27">
        <f t="shared" si="0"/>
        <v>1.9851116625310174E-2</v>
      </c>
    </row>
    <row r="9" spans="1:4" ht="24.95" customHeight="1" x14ac:dyDescent="0.25">
      <c r="A9" s="16" t="s">
        <v>65</v>
      </c>
      <c r="B9" s="16">
        <v>672</v>
      </c>
      <c r="C9" s="16">
        <v>92</v>
      </c>
      <c r="D9" s="27">
        <f t="shared" si="0"/>
        <v>0.13690476190476192</v>
      </c>
    </row>
    <row r="10" spans="1:4" ht="24.95" customHeight="1" x14ac:dyDescent="0.25">
      <c r="A10" s="16" t="s">
        <v>14</v>
      </c>
      <c r="B10" s="16">
        <v>3262</v>
      </c>
      <c r="C10" s="16">
        <v>200</v>
      </c>
      <c r="D10" s="27">
        <f t="shared" si="0"/>
        <v>6.1312078479460456E-2</v>
      </c>
    </row>
    <row r="11" spans="1:4" ht="24.95" customHeight="1" x14ac:dyDescent="0.25">
      <c r="A11" s="16" t="s">
        <v>78</v>
      </c>
      <c r="B11" s="16">
        <v>132</v>
      </c>
      <c r="C11" s="16">
        <v>14</v>
      </c>
      <c r="D11" s="27">
        <f t="shared" si="0"/>
        <v>0.10606060606060606</v>
      </c>
    </row>
    <row r="12" spans="1:4" ht="24.95" customHeight="1" x14ac:dyDescent="0.25">
      <c r="A12" s="16" t="s">
        <v>82</v>
      </c>
      <c r="B12" s="16">
        <v>368</v>
      </c>
      <c r="C12" s="16">
        <v>70</v>
      </c>
      <c r="D12" s="27">
        <f t="shared" si="0"/>
        <v>0.19021739130434784</v>
      </c>
    </row>
    <row r="13" spans="1:4" ht="24.95" customHeight="1" x14ac:dyDescent="0.25">
      <c r="A13" s="16" t="s">
        <v>166</v>
      </c>
      <c r="B13" s="16">
        <v>543</v>
      </c>
      <c r="C13" s="16">
        <v>50</v>
      </c>
      <c r="D13" s="27">
        <f t="shared" si="0"/>
        <v>9.2081031307550645E-2</v>
      </c>
    </row>
    <row r="14" spans="1:4" ht="24.95" customHeight="1" x14ac:dyDescent="0.25">
      <c r="A14" s="16" t="s">
        <v>135</v>
      </c>
      <c r="B14" s="16">
        <v>948</v>
      </c>
      <c r="C14" s="16">
        <v>125</v>
      </c>
      <c r="D14" s="27">
        <f t="shared" si="0"/>
        <v>0.13185654008438819</v>
      </c>
    </row>
    <row r="15" spans="1:4" ht="24.95" customHeight="1" x14ac:dyDescent="0.25">
      <c r="A15" s="16" t="s">
        <v>93</v>
      </c>
      <c r="B15" s="16">
        <v>473</v>
      </c>
      <c r="C15" s="16">
        <v>75</v>
      </c>
      <c r="D15" s="27">
        <f t="shared" si="0"/>
        <v>0.15856236786469344</v>
      </c>
    </row>
    <row r="16" spans="1:4" ht="24.95" customHeight="1" x14ac:dyDescent="0.25">
      <c r="A16" s="16" t="s">
        <v>95</v>
      </c>
      <c r="B16" s="16">
        <v>1315</v>
      </c>
      <c r="C16" s="16">
        <v>130</v>
      </c>
      <c r="D16" s="27">
        <f t="shared" si="0"/>
        <v>9.8859315589353611E-2</v>
      </c>
    </row>
    <row r="17" spans="1:4" ht="24.95" customHeight="1" x14ac:dyDescent="0.25">
      <c r="A17" s="16" t="s">
        <v>101</v>
      </c>
      <c r="B17" s="16">
        <v>568</v>
      </c>
      <c r="C17" s="16">
        <v>50</v>
      </c>
      <c r="D17" s="27">
        <f t="shared" si="0"/>
        <v>8.8028169014084501E-2</v>
      </c>
    </row>
    <row r="18" spans="1:4" ht="24.95" customHeight="1" thickBot="1" x14ac:dyDescent="0.3">
      <c r="A18" s="17" t="s">
        <v>110</v>
      </c>
      <c r="B18" s="17">
        <v>1681</v>
      </c>
      <c r="C18" s="17">
        <v>53</v>
      </c>
      <c r="D18" s="27">
        <f t="shared" si="0"/>
        <v>3.1528851873884593E-2</v>
      </c>
    </row>
    <row r="19" spans="1:4" s="15" customFormat="1" ht="24.95" customHeight="1" thickTop="1" thickBot="1" x14ac:dyDescent="0.3">
      <c r="A19" s="11" t="s">
        <v>2</v>
      </c>
      <c r="B19" s="12">
        <f>SUM(B3:B18)</f>
        <v>12429</v>
      </c>
      <c r="C19" s="13">
        <f>SUM(C3:C18)</f>
        <v>1256</v>
      </c>
      <c r="D19" s="14">
        <f t="shared" si="0"/>
        <v>0.10105398664413871</v>
      </c>
    </row>
    <row r="20" spans="1:4" ht="15.75" thickTop="1" x14ac:dyDescent="0.25">
      <c r="A20" s="3"/>
    </row>
    <row r="21" spans="1:4" x14ac:dyDescent="0.25">
      <c r="A21" s="3"/>
    </row>
    <row r="22" spans="1:4" x14ac:dyDescent="0.25">
      <c r="A22" s="3"/>
    </row>
    <row r="23" spans="1:4" x14ac:dyDescent="0.25">
      <c r="A23" s="3"/>
    </row>
    <row r="24" spans="1:4" x14ac:dyDescent="0.25">
      <c r="A24" s="3"/>
    </row>
    <row r="25" spans="1:4" x14ac:dyDescent="0.25">
      <c r="A25" s="3"/>
    </row>
    <row r="26" spans="1:4" x14ac:dyDescent="0.25">
      <c r="A26" s="3"/>
    </row>
    <row r="27" spans="1:4" x14ac:dyDescent="0.25">
      <c r="A27" s="3"/>
    </row>
    <row r="28" spans="1:4" x14ac:dyDescent="0.25">
      <c r="A28" s="3"/>
    </row>
    <row r="29" spans="1:4" x14ac:dyDescent="0.25">
      <c r="A29" s="3"/>
    </row>
    <row r="30" spans="1:4" x14ac:dyDescent="0.25">
      <c r="A30" s="3"/>
    </row>
    <row r="31" spans="1:4" x14ac:dyDescent="0.25">
      <c r="A31" s="3"/>
    </row>
    <row r="32" spans="1:4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DE6UZ2SY5E43-1273115200-269</_dlc_DocId>
    <_dlc_DocIdUrl xmlns="3b005fd8-62d5-4927-a0f9-fdac9185221f">
      <Url>https://outside.vermont.gov/dept/sos/_layouts/15/DocIdRedir.aspx?ID=DE6UZ2SY5E43-1273115200-269</Url>
      <Description>DE6UZ2SY5E43-1273115200-269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44EAC64-DCF1-41A7-A591-DC4369F3E299}"/>
</file>

<file path=customXml/itemProps2.xml><?xml version="1.0" encoding="utf-8"?>
<ds:datastoreItem xmlns:ds="http://schemas.openxmlformats.org/officeDocument/2006/customXml" ds:itemID="{0CAFE5FB-8160-445E-825C-61DE2908661C}"/>
</file>

<file path=customXml/itemProps3.xml><?xml version="1.0" encoding="utf-8"?>
<ds:datastoreItem xmlns:ds="http://schemas.openxmlformats.org/officeDocument/2006/customXml" ds:itemID="{FDEDDD52-107B-41F1-85D4-D30C8FBCE000}"/>
</file>

<file path=customXml/itemProps4.xml><?xml version="1.0" encoding="utf-8"?>
<ds:datastoreItem xmlns:ds="http://schemas.openxmlformats.org/officeDocument/2006/customXml" ds:itemID="{5E8F2399-4F95-463C-BBDD-E6FECD898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AUSTRALIAN VOTER TURNOUT</vt:lpstr>
      <vt:lpstr>FLOOR VOTER TURNOUT</vt:lpstr>
    </vt:vector>
  </TitlesOfParts>
  <Company>Vermont Secretary of State's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VT_SOS</cp:lastModifiedBy>
  <dcterms:created xsi:type="dcterms:W3CDTF">2018-05-11T14:56:29Z</dcterms:created>
  <dcterms:modified xsi:type="dcterms:W3CDTF">2021-06-02T18:20:29Z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2a3389c8-4ee1-4e1c-b93d-295f5f04c688</vt:lpwstr>
  </property>
</Properties>
</file>