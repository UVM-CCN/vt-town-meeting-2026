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2016 Town Meeting Survey/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_FilterDatabase" localSheetId="0" hidden="1">Sheet1!$A$1:$H$193</definedName>
  </definedNames>
  <calcPr calcId="152511"/>
</workbook>
</file>

<file path=xl/calcChain.xml><?xml version="1.0" encoding="utf-8"?>
<calcChain xmlns="http://schemas.openxmlformats.org/spreadsheetml/2006/main">
  <c r="G194" i="1" l="1"/>
  <c r="E194" i="1"/>
  <c r="F194" i="1" s="1"/>
  <c r="H194" i="1" l="1"/>
  <c r="H10" i="1"/>
  <c r="H11" i="1"/>
  <c r="H13" i="1"/>
  <c r="H14" i="1"/>
  <c r="H17" i="1"/>
  <c r="H19" i="1"/>
  <c r="H20" i="1"/>
  <c r="H22" i="1"/>
  <c r="H23" i="1"/>
  <c r="H24" i="1"/>
  <c r="H27" i="1"/>
  <c r="H28" i="1"/>
  <c r="H29" i="1"/>
  <c r="H30" i="1"/>
  <c r="H31" i="1"/>
  <c r="H32" i="1"/>
  <c r="H33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8" i="1"/>
  <c r="H59" i="1"/>
  <c r="H61" i="1"/>
  <c r="H62" i="1"/>
  <c r="H65" i="1"/>
  <c r="H66" i="1"/>
  <c r="H67" i="1"/>
  <c r="H68" i="1"/>
  <c r="H69" i="1"/>
  <c r="H70" i="1"/>
  <c r="H72" i="1"/>
  <c r="H74" i="1"/>
  <c r="H75" i="1"/>
  <c r="H77" i="1"/>
  <c r="H79" i="1"/>
  <c r="H80" i="1"/>
  <c r="H81" i="1"/>
  <c r="H84" i="1"/>
  <c r="H87" i="1"/>
  <c r="H88" i="1"/>
  <c r="H89" i="1"/>
  <c r="H91" i="1"/>
  <c r="H92" i="1"/>
  <c r="H93" i="1"/>
  <c r="H94" i="1"/>
  <c r="H95" i="1"/>
  <c r="H96" i="1"/>
  <c r="H97" i="1"/>
  <c r="H99" i="1"/>
  <c r="H100" i="1"/>
  <c r="H101" i="1"/>
  <c r="H102" i="1"/>
  <c r="H103" i="1"/>
  <c r="H104" i="1"/>
  <c r="H106" i="1"/>
  <c r="H107" i="1"/>
  <c r="H108" i="1"/>
  <c r="H109" i="1"/>
  <c r="H111" i="1"/>
  <c r="H113" i="1"/>
  <c r="H114" i="1"/>
  <c r="H115" i="1"/>
  <c r="H116" i="1"/>
  <c r="H117" i="1"/>
  <c r="H121" i="1"/>
  <c r="H122" i="1"/>
  <c r="H124" i="1"/>
  <c r="H125" i="1"/>
  <c r="H126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9" i="1"/>
  <c r="H150" i="1"/>
  <c r="H152" i="1"/>
  <c r="H156" i="1"/>
  <c r="H158" i="1"/>
  <c r="H162" i="1"/>
  <c r="H163" i="1"/>
  <c r="H164" i="1"/>
  <c r="H165" i="1"/>
  <c r="H166" i="1"/>
  <c r="H169" i="1"/>
  <c r="H170" i="1"/>
  <c r="H171" i="1"/>
  <c r="H173" i="1"/>
  <c r="H174" i="1"/>
  <c r="H175" i="1"/>
  <c r="H176" i="1"/>
  <c r="H178" i="1"/>
  <c r="H179" i="1"/>
  <c r="H180" i="1"/>
  <c r="H182" i="1"/>
  <c r="H183" i="1"/>
  <c r="H184" i="1"/>
  <c r="H185" i="1"/>
  <c r="H186" i="1"/>
  <c r="H187" i="1"/>
  <c r="H188" i="1"/>
  <c r="H189" i="1"/>
  <c r="H191" i="1"/>
  <c r="H192" i="1"/>
  <c r="H4" i="1"/>
  <c r="H5" i="1"/>
  <c r="H6" i="1"/>
  <c r="F4" i="1"/>
  <c r="F5" i="1"/>
  <c r="F6" i="1"/>
  <c r="F10" i="1"/>
  <c r="F11" i="1"/>
  <c r="F13" i="1"/>
  <c r="F14" i="1"/>
  <c r="F17" i="1"/>
  <c r="F19" i="1"/>
  <c r="F20" i="1"/>
  <c r="F22" i="1"/>
  <c r="F23" i="1"/>
  <c r="F24" i="1"/>
  <c r="F27" i="1"/>
  <c r="F28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3" i="1"/>
  <c r="F45" i="1"/>
  <c r="F46" i="1"/>
  <c r="F47" i="1"/>
  <c r="F48" i="1"/>
  <c r="F49" i="1"/>
  <c r="F51" i="1"/>
  <c r="F52" i="1"/>
  <c r="F53" i="1"/>
  <c r="F54" i="1"/>
  <c r="F55" i="1"/>
  <c r="F58" i="1"/>
  <c r="F59" i="1"/>
  <c r="F61" i="1"/>
  <c r="F62" i="1"/>
  <c r="F65" i="1"/>
  <c r="F66" i="1"/>
  <c r="F67" i="1"/>
  <c r="F68" i="1"/>
  <c r="F69" i="1"/>
  <c r="F70" i="1"/>
  <c r="F72" i="1"/>
  <c r="F74" i="1"/>
  <c r="F75" i="1"/>
  <c r="F77" i="1"/>
  <c r="F79" i="1"/>
  <c r="F80" i="1"/>
  <c r="F81" i="1"/>
  <c r="F84" i="1"/>
  <c r="F87" i="1"/>
  <c r="F88" i="1"/>
  <c r="F89" i="1"/>
  <c r="F91" i="1"/>
  <c r="F92" i="1"/>
  <c r="F93" i="1"/>
  <c r="F94" i="1"/>
  <c r="F95" i="1"/>
  <c r="F96" i="1"/>
  <c r="F97" i="1"/>
  <c r="F99" i="1"/>
  <c r="F100" i="1"/>
  <c r="F101" i="1"/>
  <c r="F102" i="1"/>
  <c r="F103" i="1"/>
  <c r="F104" i="1"/>
  <c r="F106" i="1"/>
  <c r="F107" i="1"/>
  <c r="F108" i="1"/>
  <c r="F109" i="1"/>
  <c r="F111" i="1"/>
  <c r="F113" i="1"/>
  <c r="F114" i="1"/>
  <c r="F115" i="1"/>
  <c r="F116" i="1"/>
  <c r="F117" i="1"/>
  <c r="F121" i="1"/>
  <c r="F122" i="1"/>
  <c r="F124" i="1"/>
  <c r="F125" i="1"/>
  <c r="F126" i="1"/>
  <c r="F128" i="1"/>
  <c r="F129" i="1"/>
  <c r="F130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9" i="1"/>
  <c r="F150" i="1"/>
  <c r="F152" i="1"/>
  <c r="F156" i="1"/>
  <c r="F158" i="1"/>
  <c r="F162" i="1"/>
  <c r="F163" i="1"/>
  <c r="F164" i="1"/>
  <c r="F165" i="1"/>
  <c r="F166" i="1"/>
  <c r="F169" i="1"/>
  <c r="F170" i="1"/>
  <c r="F171" i="1"/>
  <c r="F173" i="1"/>
  <c r="F174" i="1"/>
  <c r="F175" i="1"/>
  <c r="F176" i="1"/>
  <c r="F178" i="1"/>
  <c r="F179" i="1"/>
  <c r="F180" i="1"/>
  <c r="F182" i="1"/>
  <c r="F183" i="1"/>
  <c r="F184" i="1"/>
  <c r="F185" i="1"/>
  <c r="F186" i="1"/>
  <c r="F187" i="1"/>
  <c r="F188" i="1"/>
  <c r="F189" i="1"/>
  <c r="F191" i="1"/>
  <c r="F192" i="1"/>
  <c r="F2" i="1"/>
  <c r="D6" i="1" l="1"/>
  <c r="D7" i="1"/>
  <c r="D9" i="1"/>
  <c r="D12" i="1"/>
  <c r="D13" i="1"/>
  <c r="D15" i="1"/>
  <c r="D17" i="1"/>
  <c r="D18" i="1"/>
  <c r="D21" i="1"/>
  <c r="D25" i="1"/>
  <c r="D26" i="1"/>
  <c r="D29" i="1"/>
  <c r="D30" i="1"/>
  <c r="D32" i="1"/>
  <c r="D34" i="1"/>
  <c r="D41" i="1"/>
  <c r="D42" i="1"/>
  <c r="D43" i="1"/>
  <c r="D46" i="1"/>
  <c r="D48" i="1"/>
  <c r="D50" i="1"/>
  <c r="D51" i="1"/>
  <c r="D52" i="1"/>
  <c r="D54" i="1"/>
  <c r="D55" i="1"/>
  <c r="D56" i="1"/>
  <c r="D57" i="1"/>
  <c r="D58" i="1"/>
  <c r="D59" i="1"/>
  <c r="D60" i="1"/>
  <c r="D61" i="1"/>
  <c r="D63" i="1"/>
  <c r="D64" i="1"/>
  <c r="D65" i="1"/>
  <c r="D68" i="1"/>
  <c r="D69" i="1"/>
  <c r="D71" i="1"/>
  <c r="D72" i="1"/>
  <c r="D74" i="1"/>
  <c r="D75" i="1"/>
  <c r="D76" i="1"/>
  <c r="D78" i="1"/>
  <c r="D79" i="1"/>
  <c r="D80" i="1"/>
  <c r="D81" i="1"/>
  <c r="D82" i="1"/>
  <c r="D83" i="1"/>
  <c r="D84" i="1"/>
  <c r="D85" i="1"/>
  <c r="D86" i="1"/>
  <c r="D89" i="1"/>
  <c r="D90" i="1"/>
  <c r="D91" i="1"/>
  <c r="D93" i="1"/>
  <c r="D95" i="1"/>
  <c r="D98" i="1"/>
  <c r="D100" i="1"/>
  <c r="D101" i="1"/>
  <c r="D103" i="1"/>
  <c r="D105" i="1"/>
  <c r="D110" i="1"/>
  <c r="D112" i="1"/>
  <c r="D114" i="1"/>
  <c r="D116" i="1"/>
  <c r="D118" i="1"/>
  <c r="D119" i="1"/>
  <c r="D120" i="1"/>
  <c r="D121" i="1"/>
  <c r="D122" i="1"/>
  <c r="D123" i="1"/>
  <c r="D124" i="1"/>
  <c r="D125" i="1"/>
  <c r="D127" i="1"/>
  <c r="D130" i="1"/>
  <c r="D133" i="1"/>
  <c r="D136" i="1"/>
  <c r="D137" i="1"/>
  <c r="D138" i="1"/>
  <c r="D139" i="1"/>
  <c r="D141" i="1"/>
  <c r="D143" i="1"/>
  <c r="D148" i="1"/>
  <c r="D150" i="1"/>
  <c r="D151" i="1"/>
  <c r="D152" i="1"/>
  <c r="D153" i="1"/>
  <c r="D154" i="1"/>
  <c r="D155" i="1"/>
  <c r="D156" i="1"/>
  <c r="D157" i="1"/>
  <c r="D158" i="1"/>
  <c r="D159" i="1"/>
  <c r="D160" i="1"/>
  <c r="D164" i="1"/>
  <c r="D166" i="1"/>
  <c r="D167" i="1"/>
  <c r="D168" i="1"/>
  <c r="D169" i="1"/>
  <c r="D170" i="1"/>
  <c r="D172" i="1"/>
  <c r="D175" i="1"/>
  <c r="D176" i="1"/>
  <c r="D177" i="1"/>
  <c r="D178" i="1"/>
  <c r="D179" i="1"/>
  <c r="D180" i="1"/>
  <c r="D181" i="1"/>
  <c r="D182" i="1"/>
  <c r="D183" i="1"/>
  <c r="D186" i="1"/>
  <c r="D187" i="1"/>
  <c r="D189" i="1"/>
  <c r="D190" i="1"/>
  <c r="D3" i="1"/>
  <c r="H2" i="1" l="1"/>
  <c r="C193" i="1"/>
  <c r="D193" i="1" l="1"/>
</calcChain>
</file>

<file path=xl/sharedStrings.xml><?xml version="1.0" encoding="utf-8"?>
<sst xmlns="http://schemas.openxmlformats.org/spreadsheetml/2006/main" count="201" uniqueCount="201">
  <si>
    <t>Town or City</t>
  </si>
  <si>
    <t>Washington</t>
  </si>
  <si>
    <t>Goshen</t>
  </si>
  <si>
    <t>Westminster</t>
  </si>
  <si>
    <t>West Windsor</t>
  </si>
  <si>
    <t>Landgrove</t>
  </si>
  <si>
    <t>Belvidere</t>
  </si>
  <si>
    <t>Guildhall</t>
  </si>
  <si>
    <t>Peru</t>
  </si>
  <si>
    <t>Stockbridge</t>
  </si>
  <si>
    <t>Marshfield</t>
  </si>
  <si>
    <t>Huntington</t>
  </si>
  <si>
    <t>Wardsboro</t>
  </si>
  <si>
    <t>Mendon</t>
  </si>
  <si>
    <t>Brattleboro</t>
  </si>
  <si>
    <t>Alburgh</t>
  </si>
  <si>
    <t>Bridport</t>
  </si>
  <si>
    <t>Pomfret</t>
  </si>
  <si>
    <t>Williston</t>
  </si>
  <si>
    <t>Grafton</t>
  </si>
  <si>
    <t>Johnson</t>
  </si>
  <si>
    <t>Groton</t>
  </si>
  <si>
    <t>Barnet</t>
  </si>
  <si>
    <t>Corinth</t>
  </si>
  <si>
    <t>Tinmouth</t>
  </si>
  <si>
    <t>Bolton</t>
  </si>
  <si>
    <t>Londonderry</t>
  </si>
  <si>
    <t>Walden</t>
  </si>
  <si>
    <t>Fairlee</t>
  </si>
  <si>
    <t>Bloomfield</t>
  </si>
  <si>
    <t>Waterford</t>
  </si>
  <si>
    <t>Derby</t>
  </si>
  <si>
    <t>Fairfield</t>
  </si>
  <si>
    <t>South Hero</t>
  </si>
  <si>
    <t>New Haven</t>
  </si>
  <si>
    <t>Fair Haven</t>
  </si>
  <si>
    <t>East Montpelier</t>
  </si>
  <si>
    <t>Middlesex</t>
  </si>
  <si>
    <t>Randolph</t>
  </si>
  <si>
    <t>Newport City</t>
  </si>
  <si>
    <t>Danville</t>
  </si>
  <si>
    <t>Brownington</t>
  </si>
  <si>
    <t>Georgia</t>
  </si>
  <si>
    <t>Waitsfield</t>
  </si>
  <si>
    <t>Orwell</t>
  </si>
  <si>
    <t>Windham</t>
  </si>
  <si>
    <t>Braintree</t>
  </si>
  <si>
    <t>Thetford</t>
  </si>
  <si>
    <t>Concord</t>
  </si>
  <si>
    <t>Holland</t>
  </si>
  <si>
    <t>Norton</t>
  </si>
  <si>
    <t>Lowell</t>
  </si>
  <si>
    <t>Waterville</t>
  </si>
  <si>
    <t>Bakersfield</t>
  </si>
  <si>
    <t>Charleston</t>
  </si>
  <si>
    <t>Mount Holly</t>
  </si>
  <si>
    <t>Chester</t>
  </si>
  <si>
    <t>Monkton</t>
  </si>
  <si>
    <t>North Hero</t>
  </si>
  <si>
    <t>Montgomery</t>
  </si>
  <si>
    <t>Readsboro</t>
  </si>
  <si>
    <t>Lunenburg</t>
  </si>
  <si>
    <t>Winhall</t>
  </si>
  <si>
    <t>Coventry</t>
  </si>
  <si>
    <t>Wallingford</t>
  </si>
  <si>
    <t>Peacham</t>
  </si>
  <si>
    <t>Ryegate</t>
  </si>
  <si>
    <t>Jay</t>
  </si>
  <si>
    <t>Rochester</t>
  </si>
  <si>
    <t>Ira</t>
  </si>
  <si>
    <t>Jericho</t>
  </si>
  <si>
    <t>Marlboro</t>
  </si>
  <si>
    <t>Glover</t>
  </si>
  <si>
    <t>St. Albans City</t>
  </si>
  <si>
    <t>Richford</t>
  </si>
  <si>
    <t>Calais</t>
  </si>
  <si>
    <t>Proctor</t>
  </si>
  <si>
    <t>Underhill</t>
  </si>
  <si>
    <t>Highgate</t>
  </si>
  <si>
    <t>Isle La Motte</t>
  </si>
  <si>
    <t>Lyndon</t>
  </si>
  <si>
    <t>Pittsfield</t>
  </si>
  <si>
    <t>Townshend</t>
  </si>
  <si>
    <t>Richmond</t>
  </si>
  <si>
    <t>Williamstown</t>
  </si>
  <si>
    <t>West Fairlee</t>
  </si>
  <si>
    <t>Milton</t>
  </si>
  <si>
    <t>Newark</t>
  </si>
  <si>
    <t>Rockingham</t>
  </si>
  <si>
    <t>Plymouth</t>
  </si>
  <si>
    <t>Springfield</t>
  </si>
  <si>
    <t>Tunbridge</t>
  </si>
  <si>
    <t>Warren</t>
  </si>
  <si>
    <t>Starksboro</t>
  </si>
  <si>
    <t>Manchester</t>
  </si>
  <si>
    <t>Norwich</t>
  </si>
  <si>
    <t>Clarendon</t>
  </si>
  <si>
    <t>Stratton</t>
  </si>
  <si>
    <t>Chelsea</t>
  </si>
  <si>
    <t>Westfield</t>
  </si>
  <si>
    <t>Irasburg</t>
  </si>
  <si>
    <t>Pawlet</t>
  </si>
  <si>
    <t>Bridgewater</t>
  </si>
  <si>
    <t>Hinesburg</t>
  </si>
  <si>
    <t>Fayston</t>
  </si>
  <si>
    <t>Northfield</t>
  </si>
  <si>
    <t>Cabot</t>
  </si>
  <si>
    <t>Hartland</t>
  </si>
  <si>
    <t>Canaan</t>
  </si>
  <si>
    <t>Westford</t>
  </si>
  <si>
    <t>Barre City</t>
  </si>
  <si>
    <t>For floor meeting towns: what was the highest vote count? (your best estimate)</t>
  </si>
  <si>
    <t>For Australian ballot towns: how many people voted (include absentee ballot)?</t>
  </si>
  <si>
    <t>For Australian ballot towns: how many voted by absentee ballot?</t>
  </si>
  <si>
    <t>Kirby</t>
  </si>
  <si>
    <t>Franklin</t>
  </si>
  <si>
    <t>Orange</t>
  </si>
  <si>
    <t>Mount Tabor</t>
  </si>
  <si>
    <t>Reading</t>
  </si>
  <si>
    <t>Waterbury</t>
  </si>
  <si>
    <t>Berkshire</t>
  </si>
  <si>
    <t>Arlington</t>
  </si>
  <si>
    <t>Brandon</t>
  </si>
  <si>
    <t>Winooski</t>
  </si>
  <si>
    <t>Bethel</t>
  </si>
  <si>
    <t>Dorset</t>
  </si>
  <si>
    <t>East Haven</t>
  </si>
  <si>
    <t>Fairfax</t>
  </si>
  <si>
    <t>Moretown</t>
  </si>
  <si>
    <t>Plainfield</t>
  </si>
  <si>
    <t>Shaftsbury</t>
  </si>
  <si>
    <t>Sharon</t>
  </si>
  <si>
    <t>Shrewsbury</t>
  </si>
  <si>
    <t>St. Johnsbury</t>
  </si>
  <si>
    <t>Stannard</t>
  </si>
  <si>
    <t>Topsham</t>
  </si>
  <si>
    <t>Wilmington</t>
  </si>
  <si>
    <t>Roxbury</t>
  </si>
  <si>
    <t>Rupert</t>
  </si>
  <si>
    <t>Maidstone</t>
  </si>
  <si>
    <t>Addison</t>
  </si>
  <si>
    <t>Barnard</t>
  </si>
  <si>
    <t>Benson</t>
  </si>
  <si>
    <t>Brighton</t>
  </si>
  <si>
    <t>Brookfield</t>
  </si>
  <si>
    <t>Brookline</t>
  </si>
  <si>
    <t>Burke</t>
  </si>
  <si>
    <t>Eden</t>
  </si>
  <si>
    <t>Guilford</t>
  </si>
  <si>
    <t>Ludlow</t>
  </si>
  <si>
    <t>Morgan</t>
  </si>
  <si>
    <t>Rutland Town</t>
  </si>
  <si>
    <t>Sheffield</t>
  </si>
  <si>
    <t>St Albans Town</t>
  </si>
  <si>
    <t>West Rutland</t>
  </si>
  <si>
    <t>Albany</t>
  </si>
  <si>
    <t>Charlotte</t>
  </si>
  <si>
    <t>Enosburgh</t>
  </si>
  <si>
    <t>Wolcott</t>
  </si>
  <si>
    <t>Burlington - Wards 1-8</t>
  </si>
  <si>
    <t>How many voters were on your TM checklist 3/1/16?</t>
  </si>
  <si>
    <t>Stamford</t>
  </si>
  <si>
    <t>Newbury</t>
  </si>
  <si>
    <t>Vernon</t>
  </si>
  <si>
    <t>Lincoln</t>
  </si>
  <si>
    <t>Baltimore</t>
  </si>
  <si>
    <t>West Haven</t>
  </si>
  <si>
    <t>Colchester</t>
  </si>
  <si>
    <t>Cornwall</t>
  </si>
  <si>
    <t>Danby</t>
  </si>
  <si>
    <t>Chittenden</t>
  </si>
  <si>
    <t>South Royalton</t>
  </si>
  <si>
    <t>Hartford</t>
  </si>
  <si>
    <t>Morristown</t>
  </si>
  <si>
    <t>Barre Town</t>
  </si>
  <si>
    <t>Salisbury</t>
  </si>
  <si>
    <t>Jeffersonville</t>
  </si>
  <si>
    <t>Sandgate</t>
  </si>
  <si>
    <t>Putney</t>
  </si>
  <si>
    <t>Westmore</t>
  </si>
  <si>
    <t>Panton</t>
  </si>
  <si>
    <t>Hyde Park</t>
  </si>
  <si>
    <t>Greensboro</t>
  </si>
  <si>
    <t>Newfane</t>
  </si>
  <si>
    <t>Woodford</t>
  </si>
  <si>
    <t>Hubbardton</t>
  </si>
  <si>
    <t>West Halifax</t>
  </si>
  <si>
    <t>Whitingham</t>
  </si>
  <si>
    <t>Woodbury</t>
  </si>
  <si>
    <t>Worcester</t>
  </si>
  <si>
    <t>East Dummerston</t>
  </si>
  <si>
    <t>Strafford</t>
  </si>
  <si>
    <t>Essex</t>
  </si>
  <si>
    <t>Sunderland</t>
  </si>
  <si>
    <t>North Troy</t>
  </si>
  <si>
    <t>St. George</t>
  </si>
  <si>
    <t>Floor vote Turnout (%)</t>
  </si>
  <si>
    <t>Australian ballot Turnout (%)</t>
  </si>
  <si>
    <t xml:space="preserve">Absentee Ballot Turnout (%) </t>
  </si>
  <si>
    <t>FLOOR VOTE TOTAL</t>
  </si>
  <si>
    <t>AUSTRALIAN BALLOT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</si>
</sst>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4"/>
      <color indexed="8"/>
      <name val="Calibri"/>
      <family val="2"/>
    </font>
    <font>
      <b/>
      <sz val="14"/>
      <color indexed="8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0" fontId="4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1" max="1" width="38.140625" style="1" customWidth="1"/>
    <col min="2" max="2" width="26.5703125" style="1" customWidth="1"/>
    <col min="3" max="4" width="27.28515625" style="1" customWidth="1"/>
    <col min="5" max="6" width="26.85546875" style="1" customWidth="1"/>
    <col min="7" max="7" width="28.7109375" style="1" customWidth="1"/>
    <col min="8" max="8" width="27.140625" style="1" customWidth="1"/>
    <col min="9" max="16384" width="9.140625" style="2"/>
  </cols>
  <sheetData>
    <row r="1" spans="1:8" s="3" customFormat="1" ht="75" x14ac:dyDescent="0.3">
      <c r="A1" s="4" t="s">
        <v>0</v>
      </c>
      <c r="B1" s="4" t="s">
        <v>160</v>
      </c>
      <c r="C1" s="4" t="s">
        <v>111</v>
      </c>
      <c r="D1" s="4" t="s">
        <v>196</v>
      </c>
      <c r="E1" s="4" t="s">
        <v>112</v>
      </c>
      <c r="F1" s="4" t="s">
        <v>197</v>
      </c>
      <c r="G1" s="4" t="s">
        <v>113</v>
      </c>
      <c r="H1" s="4" t="s">
        <v>198</v>
      </c>
    </row>
    <row r="2" spans="1:8" s="5" customFormat="1" ht="24.95" customHeight="1" x14ac:dyDescent="0.25">
      <c r="A2" s="6" t="s">
        <v>140</v>
      </c>
      <c r="B2" s="6">
        <v>1005</v>
      </c>
      <c r="C2" s="6"/>
      <c r="D2" s="6"/>
      <c r="E2" s="6">
        <v>546</v>
      </c>
      <c r="F2" s="7">
        <f>SUM(E2/B2)</f>
        <v>0.54328358208955219</v>
      </c>
      <c r="G2" s="6">
        <v>53</v>
      </c>
      <c r="H2" s="7">
        <f>SUM(G2/E2)</f>
        <v>9.7069597069597072E-2</v>
      </c>
    </row>
    <row r="3" spans="1:8" s="5" customFormat="1" ht="24.95" customHeight="1" x14ac:dyDescent="0.25">
      <c r="A3" s="6" t="s">
        <v>155</v>
      </c>
      <c r="B3" s="6">
        <v>603</v>
      </c>
      <c r="C3" s="6">
        <v>98</v>
      </c>
      <c r="D3" s="7">
        <f>SUM(C3/B3)</f>
        <v>0.1625207296849088</v>
      </c>
      <c r="E3" s="6"/>
      <c r="F3" s="7"/>
      <c r="G3" s="6"/>
      <c r="H3" s="7"/>
    </row>
    <row r="4" spans="1:8" s="5" customFormat="1" ht="24.95" customHeight="1" x14ac:dyDescent="0.25">
      <c r="A4" s="6" t="s">
        <v>15</v>
      </c>
      <c r="B4" s="6">
        <v>1425</v>
      </c>
      <c r="C4" s="6"/>
      <c r="D4" s="7"/>
      <c r="E4" s="6">
        <v>609</v>
      </c>
      <c r="F4" s="7">
        <f>SUM(E4/B4)</f>
        <v>0.42736842105263156</v>
      </c>
      <c r="G4" s="6">
        <v>102</v>
      </c>
      <c r="H4" s="7">
        <f>SUM(G4/E4)</f>
        <v>0.16748768472906403</v>
      </c>
    </row>
    <row r="5" spans="1:8" s="5" customFormat="1" ht="24.95" customHeight="1" x14ac:dyDescent="0.25">
      <c r="A5" s="6" t="s">
        <v>121</v>
      </c>
      <c r="B5" s="6">
        <v>1702</v>
      </c>
      <c r="C5" s="6"/>
      <c r="D5" s="7"/>
      <c r="E5" s="6">
        <v>738</v>
      </c>
      <c r="F5" s="7">
        <f>SUM(E5/B5)</f>
        <v>0.43360752056404228</v>
      </c>
      <c r="G5" s="6">
        <v>73</v>
      </c>
      <c r="H5" s="7">
        <f>SUM(G5/E5)</f>
        <v>9.8915989159891596E-2</v>
      </c>
    </row>
    <row r="6" spans="1:8" s="5" customFormat="1" ht="24.95" customHeight="1" x14ac:dyDescent="0.25">
      <c r="A6" s="6" t="s">
        <v>53</v>
      </c>
      <c r="B6" s="6">
        <v>934</v>
      </c>
      <c r="C6" s="6">
        <v>65</v>
      </c>
      <c r="D6" s="7">
        <f>SUM(C6/B6)</f>
        <v>6.9593147751605994E-2</v>
      </c>
      <c r="E6" s="6">
        <v>361</v>
      </c>
      <c r="F6" s="7">
        <f>SUM(E6/B6)</f>
        <v>0.38650963597430404</v>
      </c>
      <c r="G6" s="6">
        <v>22</v>
      </c>
      <c r="H6" s="7">
        <f>SUM(G6/E6)</f>
        <v>6.0941828254847646E-2</v>
      </c>
    </row>
    <row r="7" spans="1:8" s="5" customFormat="1" ht="24.95" customHeight="1" x14ac:dyDescent="0.25">
      <c r="A7" s="6" t="s">
        <v>165</v>
      </c>
      <c r="B7" s="6">
        <v>165</v>
      </c>
      <c r="C7" s="6">
        <v>32</v>
      </c>
      <c r="D7" s="7">
        <f>SUM(C7/B7)</f>
        <v>0.19393939393939394</v>
      </c>
      <c r="E7" s="6"/>
      <c r="F7" s="7"/>
      <c r="G7" s="6"/>
      <c r="H7" s="7"/>
    </row>
    <row r="8" spans="1:8" s="5" customFormat="1" ht="24.95" customHeight="1" x14ac:dyDescent="0.25">
      <c r="A8" s="6" t="s">
        <v>141</v>
      </c>
      <c r="B8" s="6">
        <v>635</v>
      </c>
      <c r="C8" s="6"/>
      <c r="D8" s="7"/>
      <c r="E8" s="6"/>
      <c r="F8" s="7"/>
      <c r="G8" s="6"/>
      <c r="H8" s="7"/>
    </row>
    <row r="9" spans="1:8" s="5" customFormat="1" ht="24.95" customHeight="1" x14ac:dyDescent="0.25">
      <c r="A9" s="6" t="s">
        <v>22</v>
      </c>
      <c r="B9" s="6">
        <v>1307</v>
      </c>
      <c r="C9" s="6">
        <v>154</v>
      </c>
      <c r="D9" s="7">
        <f>SUM(C9/B9)</f>
        <v>0.11782708492731446</v>
      </c>
      <c r="E9" s="6"/>
      <c r="F9" s="7"/>
      <c r="G9" s="6"/>
      <c r="H9" s="7"/>
    </row>
    <row r="10" spans="1:8" s="5" customFormat="1" ht="24.95" customHeight="1" x14ac:dyDescent="0.25">
      <c r="A10" s="6" t="s">
        <v>110</v>
      </c>
      <c r="B10" s="6">
        <v>4745</v>
      </c>
      <c r="C10" s="6"/>
      <c r="D10" s="7"/>
      <c r="E10" s="6">
        <v>1983</v>
      </c>
      <c r="F10" s="7">
        <f>SUM(E10/B10)</f>
        <v>0.41791359325605903</v>
      </c>
      <c r="G10" s="6">
        <v>234</v>
      </c>
      <c r="H10" s="7">
        <f>SUM(G10/E10)</f>
        <v>0.11800302571860817</v>
      </c>
    </row>
    <row r="11" spans="1:8" s="5" customFormat="1" ht="24.95" customHeight="1" x14ac:dyDescent="0.25">
      <c r="A11" s="6" t="s">
        <v>174</v>
      </c>
      <c r="B11" s="6">
        <v>5466</v>
      </c>
      <c r="C11" s="6"/>
      <c r="D11" s="7"/>
      <c r="E11" s="6">
        <v>2351</v>
      </c>
      <c r="F11" s="7">
        <f>SUM(E11/B11)</f>
        <v>0.43011342846688622</v>
      </c>
      <c r="G11" s="6">
        <v>306</v>
      </c>
      <c r="H11" s="7">
        <f>SUM(G11/E11)</f>
        <v>0.13015737983836664</v>
      </c>
    </row>
    <row r="12" spans="1:8" s="5" customFormat="1" ht="24.95" customHeight="1" x14ac:dyDescent="0.25">
      <c r="A12" s="6" t="s">
        <v>6</v>
      </c>
      <c r="B12" s="6">
        <v>215</v>
      </c>
      <c r="C12" s="6">
        <v>44</v>
      </c>
      <c r="D12" s="7">
        <f>SUM(C12/B12)</f>
        <v>0.20465116279069767</v>
      </c>
      <c r="E12" s="6"/>
      <c r="F12" s="7"/>
      <c r="G12" s="6"/>
      <c r="H12" s="7"/>
    </row>
    <row r="13" spans="1:8" s="5" customFormat="1" ht="24.95" customHeight="1" x14ac:dyDescent="0.25">
      <c r="A13" s="6" t="s">
        <v>142</v>
      </c>
      <c r="B13" s="6">
        <v>688</v>
      </c>
      <c r="C13" s="6">
        <v>60</v>
      </c>
      <c r="D13" s="7">
        <f>SUM(C13/B13)</f>
        <v>8.7209302325581398E-2</v>
      </c>
      <c r="E13" s="6">
        <v>297</v>
      </c>
      <c r="F13" s="7">
        <f>SUM(E13/B13)</f>
        <v>0.4316860465116279</v>
      </c>
      <c r="G13" s="6">
        <v>37</v>
      </c>
      <c r="H13" s="7">
        <f>SUM(G13/E13)</f>
        <v>0.12457912457912458</v>
      </c>
    </row>
    <row r="14" spans="1:8" s="5" customFormat="1" ht="24.95" customHeight="1" x14ac:dyDescent="0.25">
      <c r="A14" s="6" t="s">
        <v>120</v>
      </c>
      <c r="B14" s="6">
        <v>959</v>
      </c>
      <c r="C14" s="6"/>
      <c r="D14" s="7"/>
      <c r="E14" s="6">
        <v>328</v>
      </c>
      <c r="F14" s="7">
        <f>SUM(E14/B14)</f>
        <v>0.34202294056308657</v>
      </c>
      <c r="G14" s="6">
        <v>53</v>
      </c>
      <c r="H14" s="7">
        <f>SUM(G14/E14)</f>
        <v>0.16158536585365854</v>
      </c>
    </row>
    <row r="15" spans="1:8" s="5" customFormat="1" ht="24.95" customHeight="1" x14ac:dyDescent="0.25">
      <c r="A15" s="6" t="s">
        <v>124</v>
      </c>
      <c r="B15" s="6">
        <v>1269</v>
      </c>
      <c r="C15" s="6">
        <v>190</v>
      </c>
      <c r="D15" s="7">
        <f>SUM(C15/B15)</f>
        <v>0.14972419227738376</v>
      </c>
      <c r="E15" s="6"/>
      <c r="F15" s="7"/>
      <c r="G15" s="6"/>
      <c r="H15" s="7"/>
    </row>
    <row r="16" spans="1:8" s="5" customFormat="1" ht="24.95" customHeight="1" x14ac:dyDescent="0.25">
      <c r="A16" s="6" t="s">
        <v>29</v>
      </c>
      <c r="B16" s="6">
        <v>144</v>
      </c>
      <c r="C16" s="6"/>
      <c r="D16" s="7"/>
      <c r="E16" s="6"/>
      <c r="F16" s="7"/>
      <c r="G16" s="6"/>
      <c r="H16" s="7"/>
    </row>
    <row r="17" spans="1:8" s="5" customFormat="1" ht="24.95" customHeight="1" x14ac:dyDescent="0.25">
      <c r="A17" s="6" t="s">
        <v>25</v>
      </c>
      <c r="B17" s="6">
        <v>944</v>
      </c>
      <c r="C17" s="6">
        <v>125</v>
      </c>
      <c r="D17" s="7">
        <f>SUM(C17/B17)</f>
        <v>0.13241525423728814</v>
      </c>
      <c r="E17" s="6">
        <v>438</v>
      </c>
      <c r="F17" s="7">
        <f>SUM(E17/B17)</f>
        <v>0.46398305084745761</v>
      </c>
      <c r="G17" s="6">
        <v>32</v>
      </c>
      <c r="H17" s="7">
        <f>SUM(G17/E17)</f>
        <v>7.3059360730593603E-2</v>
      </c>
    </row>
    <row r="18" spans="1:8" s="5" customFormat="1" ht="24.95" customHeight="1" x14ac:dyDescent="0.25">
      <c r="A18" s="6" t="s">
        <v>46</v>
      </c>
      <c r="B18" s="6">
        <v>933</v>
      </c>
      <c r="C18" s="6">
        <v>80</v>
      </c>
      <c r="D18" s="7">
        <f>SUM(C18/B18)</f>
        <v>8.5744908896034297E-2</v>
      </c>
      <c r="E18" s="6"/>
      <c r="F18" s="7"/>
      <c r="G18" s="6"/>
      <c r="H18" s="7"/>
    </row>
    <row r="19" spans="1:8" s="5" customFormat="1" ht="24.95" customHeight="1" x14ac:dyDescent="0.25">
      <c r="A19" s="6" t="s">
        <v>122</v>
      </c>
      <c r="B19" s="6">
        <v>2795</v>
      </c>
      <c r="C19" s="6"/>
      <c r="D19" s="7"/>
      <c r="E19" s="6">
        <v>1278</v>
      </c>
      <c r="F19" s="7">
        <f>SUM(E19/B19)</f>
        <v>0.45724508050089446</v>
      </c>
      <c r="G19" s="6">
        <v>140</v>
      </c>
      <c r="H19" s="7">
        <f>SUM(G19/E19)</f>
        <v>0.10954616588419405</v>
      </c>
    </row>
    <row r="20" spans="1:8" s="5" customFormat="1" ht="24.95" customHeight="1" x14ac:dyDescent="0.25">
      <c r="A20" s="6" t="s">
        <v>14</v>
      </c>
      <c r="B20" s="6">
        <v>7979</v>
      </c>
      <c r="C20" s="6"/>
      <c r="D20" s="7"/>
      <c r="E20" s="6">
        <v>3467</v>
      </c>
      <c r="F20" s="7">
        <f>SUM(E20/B20)</f>
        <v>0.43451560345908008</v>
      </c>
      <c r="G20" s="6">
        <v>775</v>
      </c>
      <c r="H20" s="7">
        <f>SUM(G20/E20)</f>
        <v>0.22353619844245745</v>
      </c>
    </row>
    <row r="21" spans="1:8" s="5" customFormat="1" ht="24.95" customHeight="1" x14ac:dyDescent="0.25">
      <c r="A21" s="6" t="s">
        <v>102</v>
      </c>
      <c r="B21" s="6">
        <v>633</v>
      </c>
      <c r="C21" s="6">
        <v>89</v>
      </c>
      <c r="D21" s="7">
        <f>SUM(C21/B21)</f>
        <v>0.14060031595576619</v>
      </c>
      <c r="E21" s="6"/>
      <c r="F21" s="7"/>
      <c r="G21" s="6"/>
      <c r="H21" s="7"/>
    </row>
    <row r="22" spans="1:8" s="5" customFormat="1" ht="24.95" customHeight="1" x14ac:dyDescent="0.25">
      <c r="A22" s="6" t="s">
        <v>16</v>
      </c>
      <c r="B22" s="6">
        <v>826</v>
      </c>
      <c r="C22" s="6"/>
      <c r="D22" s="7"/>
      <c r="E22" s="6">
        <v>439</v>
      </c>
      <c r="F22" s="7">
        <f>SUM(E22/B22)</f>
        <v>0.53147699757869249</v>
      </c>
      <c r="G22" s="6">
        <v>39</v>
      </c>
      <c r="H22" s="7">
        <f>SUM(G22/E22)</f>
        <v>8.8838268792710701E-2</v>
      </c>
    </row>
    <row r="23" spans="1:8" s="5" customFormat="1" ht="24.95" customHeight="1" x14ac:dyDescent="0.25">
      <c r="A23" s="6" t="s">
        <v>143</v>
      </c>
      <c r="B23" s="6">
        <v>837</v>
      </c>
      <c r="C23" s="6"/>
      <c r="D23" s="7"/>
      <c r="E23" s="6">
        <v>365</v>
      </c>
      <c r="F23" s="7">
        <f>SUM(E23/B23)</f>
        <v>0.43608124253285546</v>
      </c>
      <c r="G23" s="6">
        <v>44</v>
      </c>
      <c r="H23" s="7">
        <f>SUM(G23/E23)</f>
        <v>0.12054794520547946</v>
      </c>
    </row>
    <row r="24" spans="1:8" s="5" customFormat="1" ht="24.95" customHeight="1" x14ac:dyDescent="0.25">
      <c r="A24" s="6" t="s">
        <v>144</v>
      </c>
      <c r="B24" s="6">
        <v>924</v>
      </c>
      <c r="C24" s="6"/>
      <c r="D24" s="7"/>
      <c r="E24" s="6">
        <v>450</v>
      </c>
      <c r="F24" s="7">
        <f>SUM(E24/B24)</f>
        <v>0.48701298701298701</v>
      </c>
      <c r="G24" s="6">
        <v>60</v>
      </c>
      <c r="H24" s="7">
        <f>SUM(G24/E24)</f>
        <v>0.13333333333333333</v>
      </c>
    </row>
    <row r="25" spans="1:8" s="5" customFormat="1" ht="24.95" customHeight="1" x14ac:dyDescent="0.25">
      <c r="A25" s="6" t="s">
        <v>145</v>
      </c>
      <c r="B25" s="6">
        <v>377</v>
      </c>
      <c r="C25" s="6">
        <v>35</v>
      </c>
      <c r="D25" s="7">
        <f>SUM(C25/B25)</f>
        <v>9.2838196286472149E-2</v>
      </c>
      <c r="E25" s="6"/>
      <c r="F25" s="7"/>
      <c r="G25" s="6"/>
      <c r="H25" s="7"/>
    </row>
    <row r="26" spans="1:8" s="5" customFormat="1" ht="24.95" customHeight="1" x14ac:dyDescent="0.25">
      <c r="A26" s="6" t="s">
        <v>41</v>
      </c>
      <c r="B26" s="6">
        <v>629</v>
      </c>
      <c r="C26" s="6">
        <v>108</v>
      </c>
      <c r="D26" s="7">
        <f>SUM(C26/B26)</f>
        <v>0.17170111287758347</v>
      </c>
      <c r="E26" s="6"/>
      <c r="F26" s="7"/>
      <c r="G26" s="6"/>
      <c r="H26" s="7"/>
    </row>
    <row r="27" spans="1:8" s="5" customFormat="1" ht="24.95" customHeight="1" x14ac:dyDescent="0.25">
      <c r="A27" s="6" t="s">
        <v>146</v>
      </c>
      <c r="B27" s="6">
        <v>1096</v>
      </c>
      <c r="C27" s="6"/>
      <c r="D27" s="7"/>
      <c r="E27" s="6">
        <v>504</v>
      </c>
      <c r="F27" s="7">
        <f>SUM(E27/B27)</f>
        <v>0.45985401459854014</v>
      </c>
      <c r="G27" s="6">
        <v>50</v>
      </c>
      <c r="H27" s="7">
        <f>SUM(G27/E27)</f>
        <v>9.9206349206349201E-2</v>
      </c>
    </row>
    <row r="28" spans="1:8" s="5" customFormat="1" ht="24.95" customHeight="1" x14ac:dyDescent="0.25">
      <c r="A28" s="6" t="s">
        <v>159</v>
      </c>
      <c r="B28" s="6">
        <v>32552</v>
      </c>
      <c r="C28" s="6"/>
      <c r="D28" s="7"/>
      <c r="E28" s="6">
        <v>12305</v>
      </c>
      <c r="F28" s="7">
        <f>SUM(E28/B28)</f>
        <v>0.37801056770705332</v>
      </c>
      <c r="G28" s="6">
        <v>1464</v>
      </c>
      <c r="H28" s="7">
        <f>SUM(G28/E28)</f>
        <v>0.11897602600568874</v>
      </c>
    </row>
    <row r="29" spans="1:8" s="5" customFormat="1" ht="24.95" customHeight="1" x14ac:dyDescent="0.25">
      <c r="A29" s="6" t="s">
        <v>106</v>
      </c>
      <c r="B29" s="6">
        <v>1087</v>
      </c>
      <c r="C29" s="6">
        <v>100</v>
      </c>
      <c r="D29" s="7">
        <f>SUM(C29/B29)</f>
        <v>9.1996320147194111E-2</v>
      </c>
      <c r="E29" s="6">
        <v>552</v>
      </c>
      <c r="F29" s="7">
        <f>SUM(E29/B29)</f>
        <v>0.50781968721251147</v>
      </c>
      <c r="G29" s="6">
        <v>53</v>
      </c>
      <c r="H29" s="7">
        <f>SUM(G29/E29)</f>
        <v>9.6014492753623185E-2</v>
      </c>
    </row>
    <row r="30" spans="1:8" s="5" customFormat="1" ht="24.95" customHeight="1" x14ac:dyDescent="0.25">
      <c r="A30" s="6" t="s">
        <v>75</v>
      </c>
      <c r="B30" s="6">
        <v>1348</v>
      </c>
      <c r="C30" s="6">
        <v>145</v>
      </c>
      <c r="D30" s="7">
        <f>SUM(C30/B30)</f>
        <v>0.10756676557863501</v>
      </c>
      <c r="E30" s="6">
        <v>669</v>
      </c>
      <c r="F30" s="7">
        <f>SUM(E30/B30)</f>
        <v>0.49629080118694363</v>
      </c>
      <c r="G30" s="6">
        <v>155</v>
      </c>
      <c r="H30" s="7">
        <f>SUM(G30/E30)</f>
        <v>0.23168908819133036</v>
      </c>
    </row>
    <row r="31" spans="1:8" s="5" customFormat="1" ht="24.95" customHeight="1" x14ac:dyDescent="0.25">
      <c r="A31" s="6" t="s">
        <v>108</v>
      </c>
      <c r="B31" s="6">
        <v>591</v>
      </c>
      <c r="C31" s="6"/>
      <c r="D31" s="7"/>
      <c r="E31" s="6">
        <v>253</v>
      </c>
      <c r="F31" s="7">
        <f>SUM(E31/B31)</f>
        <v>0.42808798646362101</v>
      </c>
      <c r="G31" s="6">
        <v>14</v>
      </c>
      <c r="H31" s="7">
        <f>SUM(G31/E31)</f>
        <v>5.533596837944664E-2</v>
      </c>
    </row>
    <row r="32" spans="1:8" s="5" customFormat="1" ht="24.95" customHeight="1" x14ac:dyDescent="0.25">
      <c r="A32" s="6" t="s">
        <v>54</v>
      </c>
      <c r="B32" s="6">
        <v>665</v>
      </c>
      <c r="C32" s="6">
        <v>115</v>
      </c>
      <c r="D32" s="7">
        <f>SUM(C32/B32)</f>
        <v>0.17293233082706766</v>
      </c>
      <c r="E32" s="6">
        <v>223</v>
      </c>
      <c r="F32" s="7">
        <f>SUM(E32/B32)</f>
        <v>0.33533834586466166</v>
      </c>
      <c r="G32" s="6">
        <v>29</v>
      </c>
      <c r="H32" s="7">
        <f>SUM(G32/E32)</f>
        <v>0.13004484304932734</v>
      </c>
    </row>
    <row r="33" spans="1:8" s="5" customFormat="1" ht="24.95" customHeight="1" x14ac:dyDescent="0.25">
      <c r="A33" s="6" t="s">
        <v>156</v>
      </c>
      <c r="B33" s="6">
        <v>3107</v>
      </c>
      <c r="C33" s="6"/>
      <c r="D33" s="7"/>
      <c r="E33" s="6">
        <v>1768</v>
      </c>
      <c r="F33" s="7">
        <f>SUM(E33/B33)</f>
        <v>0.56903765690376573</v>
      </c>
      <c r="G33" s="6">
        <v>301</v>
      </c>
      <c r="H33" s="7">
        <f>SUM(G33/E33)</f>
        <v>0.17024886877828055</v>
      </c>
    </row>
    <row r="34" spans="1:8" s="5" customFormat="1" ht="24.95" customHeight="1" x14ac:dyDescent="0.25">
      <c r="A34" s="6" t="s">
        <v>98</v>
      </c>
      <c r="B34" s="6">
        <v>179</v>
      </c>
      <c r="C34" s="6">
        <v>102</v>
      </c>
      <c r="D34" s="7">
        <f>SUM(C34/B34)</f>
        <v>0.56983240223463683</v>
      </c>
      <c r="E34" s="6"/>
      <c r="F34" s="7"/>
      <c r="G34" s="6"/>
      <c r="H34" s="7"/>
    </row>
    <row r="35" spans="1:8" s="5" customFormat="1" ht="24.95" customHeight="1" x14ac:dyDescent="0.25">
      <c r="A35" s="6" t="s">
        <v>56</v>
      </c>
      <c r="B35" s="6">
        <v>2231</v>
      </c>
      <c r="C35" s="6"/>
      <c r="D35" s="7"/>
      <c r="E35" s="6">
        <v>1019</v>
      </c>
      <c r="F35" s="7">
        <f>SUM(E35/B35)</f>
        <v>0.45674585387718514</v>
      </c>
      <c r="G35" s="6">
        <v>108</v>
      </c>
      <c r="H35" s="7">
        <f>SUM(G35/E35)</f>
        <v>0.10598626104023552</v>
      </c>
    </row>
    <row r="36" spans="1:8" s="5" customFormat="1" ht="24.95" customHeight="1" x14ac:dyDescent="0.25">
      <c r="A36" s="6" t="s">
        <v>170</v>
      </c>
      <c r="B36" s="6">
        <v>973</v>
      </c>
      <c r="C36" s="6"/>
      <c r="D36" s="7"/>
      <c r="E36" s="6">
        <v>513</v>
      </c>
      <c r="F36" s="7">
        <f>SUM(E36/B36)</f>
        <v>0.52723535457348403</v>
      </c>
      <c r="G36" s="6">
        <v>35</v>
      </c>
      <c r="H36" s="7">
        <f>SUM(G36/E36)</f>
        <v>6.8226120857699801E-2</v>
      </c>
    </row>
    <row r="37" spans="1:8" s="5" customFormat="1" ht="24.95" customHeight="1" x14ac:dyDescent="0.25">
      <c r="A37" s="6" t="s">
        <v>96</v>
      </c>
      <c r="B37" s="6">
        <v>1756</v>
      </c>
      <c r="C37" s="6"/>
      <c r="D37" s="7"/>
      <c r="E37" s="6">
        <v>816</v>
      </c>
      <c r="F37" s="7">
        <f>SUM(E37/B37)</f>
        <v>0.46469248291571752</v>
      </c>
      <c r="G37" s="6">
        <v>51</v>
      </c>
      <c r="H37" s="7">
        <f>SUM(G37/E37)</f>
        <v>6.25E-2</v>
      </c>
    </row>
    <row r="38" spans="1:8" s="5" customFormat="1" ht="24.95" customHeight="1" x14ac:dyDescent="0.25">
      <c r="A38" s="6" t="s">
        <v>167</v>
      </c>
      <c r="B38" s="6">
        <v>11898</v>
      </c>
      <c r="C38" s="6"/>
      <c r="D38" s="7"/>
      <c r="E38" s="6">
        <v>4826</v>
      </c>
      <c r="F38" s="7">
        <f>SUM(E38/B38)</f>
        <v>0.40561438897293661</v>
      </c>
      <c r="G38" s="6">
        <v>975</v>
      </c>
      <c r="H38" s="7">
        <f>SUM(G38/E38)</f>
        <v>0.20203066721922919</v>
      </c>
    </row>
    <row r="39" spans="1:8" s="5" customFormat="1" ht="24.95" customHeight="1" x14ac:dyDescent="0.25">
      <c r="A39" s="6" t="s">
        <v>48</v>
      </c>
      <c r="B39" s="6">
        <v>824</v>
      </c>
      <c r="C39" s="6"/>
      <c r="D39" s="7"/>
      <c r="E39" s="6">
        <v>377</v>
      </c>
      <c r="F39" s="7">
        <f>SUM(E39/B39)</f>
        <v>0.45752427184466021</v>
      </c>
      <c r="G39" s="6">
        <v>53</v>
      </c>
      <c r="H39" s="7">
        <f>SUM(G39/E39)</f>
        <v>0.14058355437665782</v>
      </c>
    </row>
    <row r="40" spans="1:8" s="5" customFormat="1" ht="24.95" customHeight="1" x14ac:dyDescent="0.25">
      <c r="A40" s="6" t="s">
        <v>23</v>
      </c>
      <c r="B40" s="6">
        <v>961</v>
      </c>
      <c r="C40" s="6"/>
      <c r="D40" s="7"/>
      <c r="E40" s="6">
        <v>424</v>
      </c>
      <c r="F40" s="7">
        <f>SUM(E40/B40)</f>
        <v>0.441207075962539</v>
      </c>
      <c r="G40" s="6">
        <v>35</v>
      </c>
      <c r="H40" s="7">
        <f>SUM(G40/E40)</f>
        <v>8.254716981132075E-2</v>
      </c>
    </row>
    <row r="41" spans="1:8" s="5" customFormat="1" ht="24.95" customHeight="1" x14ac:dyDescent="0.25">
      <c r="A41" s="6" t="s">
        <v>168</v>
      </c>
      <c r="B41" s="6">
        <v>892</v>
      </c>
      <c r="C41" s="6">
        <v>100</v>
      </c>
      <c r="D41" s="7">
        <f>SUM(C41/B41)</f>
        <v>0.11210762331838565</v>
      </c>
      <c r="E41" s="6">
        <v>489</v>
      </c>
      <c r="F41" s="7">
        <f>SUM(E41/B41)</f>
        <v>0.5482062780269058</v>
      </c>
      <c r="G41" s="6">
        <v>32</v>
      </c>
      <c r="H41" s="7">
        <f>SUM(G41/E41)</f>
        <v>6.5439672801635998E-2</v>
      </c>
    </row>
    <row r="42" spans="1:8" s="5" customFormat="1" ht="24.95" customHeight="1" x14ac:dyDescent="0.25">
      <c r="A42" s="6" t="s">
        <v>63</v>
      </c>
      <c r="B42" s="6">
        <v>665</v>
      </c>
      <c r="C42" s="6">
        <v>158</v>
      </c>
      <c r="D42" s="7">
        <f>SUM(C42/B42)</f>
        <v>0.23759398496240602</v>
      </c>
      <c r="E42" s="6">
        <v>315</v>
      </c>
      <c r="F42" s="7">
        <f>SUM(E42/B42)</f>
        <v>0.47368421052631576</v>
      </c>
      <c r="G42" s="6">
        <v>24</v>
      </c>
      <c r="H42" s="7">
        <f>SUM(G42/E42)</f>
        <v>7.6190476190476197E-2</v>
      </c>
    </row>
    <row r="43" spans="1:8" s="5" customFormat="1" ht="24.95" customHeight="1" x14ac:dyDescent="0.25">
      <c r="A43" s="6" t="s">
        <v>169</v>
      </c>
      <c r="B43" s="6">
        <v>897</v>
      </c>
      <c r="C43" s="6">
        <v>55</v>
      </c>
      <c r="D43" s="7">
        <f>SUM(C43/B43)</f>
        <v>6.1315496098104792E-2</v>
      </c>
      <c r="E43" s="6">
        <v>463</v>
      </c>
      <c r="F43" s="7">
        <f>SUM(E43/B43)</f>
        <v>0.51616499442586394</v>
      </c>
      <c r="G43" s="6">
        <v>145</v>
      </c>
      <c r="H43" s="7">
        <f>SUM(G43/E43)</f>
        <v>0.31317494600431967</v>
      </c>
    </row>
    <row r="44" spans="1:8" s="5" customFormat="1" ht="24.95" customHeight="1" x14ac:dyDescent="0.25">
      <c r="A44" s="6" t="s">
        <v>40</v>
      </c>
      <c r="B44" s="6"/>
      <c r="C44" s="6">
        <v>328</v>
      </c>
      <c r="D44" s="7"/>
      <c r="E44" s="6">
        <v>706</v>
      </c>
      <c r="F44" s="7"/>
      <c r="G44" s="6">
        <v>95</v>
      </c>
      <c r="H44" s="7">
        <f>SUM(G44/E44)</f>
        <v>0.13456090651558072</v>
      </c>
    </row>
    <row r="45" spans="1:8" s="5" customFormat="1" ht="24.95" customHeight="1" x14ac:dyDescent="0.25">
      <c r="A45" s="6" t="s">
        <v>31</v>
      </c>
      <c r="B45" s="6">
        <v>3032</v>
      </c>
      <c r="C45" s="6"/>
      <c r="D45" s="7"/>
      <c r="E45" s="6">
        <v>1332</v>
      </c>
      <c r="F45" s="7">
        <f>SUM(E45/B45)</f>
        <v>0.43931398416886541</v>
      </c>
      <c r="G45" s="6">
        <v>289</v>
      </c>
      <c r="H45" s="7">
        <f>SUM(G45/E45)</f>
        <v>0.21696696696696696</v>
      </c>
    </row>
    <row r="46" spans="1:8" s="5" customFormat="1" ht="24.95" customHeight="1" x14ac:dyDescent="0.25">
      <c r="A46" s="6" t="s">
        <v>125</v>
      </c>
      <c r="B46" s="6">
        <v>1759</v>
      </c>
      <c r="C46" s="6">
        <v>160</v>
      </c>
      <c r="D46" s="7">
        <f>SUM(C46/B46)</f>
        <v>9.0960773166571918E-2</v>
      </c>
      <c r="E46" s="6">
        <v>825</v>
      </c>
      <c r="F46" s="7">
        <f>SUM(E46/B46)</f>
        <v>0.46901648664013645</v>
      </c>
      <c r="G46" s="6">
        <v>90</v>
      </c>
      <c r="H46" s="7">
        <f>SUM(G46/E46)</f>
        <v>0.10909090909090909</v>
      </c>
    </row>
    <row r="47" spans="1:8" s="5" customFormat="1" ht="24.95" customHeight="1" x14ac:dyDescent="0.25">
      <c r="A47" s="6" t="s">
        <v>190</v>
      </c>
      <c r="B47" s="6">
        <v>1699</v>
      </c>
      <c r="C47" s="6"/>
      <c r="D47" s="7"/>
      <c r="E47" s="6">
        <v>804</v>
      </c>
      <c r="F47" s="7">
        <f>SUM(E47/B47)</f>
        <v>0.47321954090641555</v>
      </c>
      <c r="G47" s="6">
        <v>78</v>
      </c>
      <c r="H47" s="7">
        <f>SUM(G47/E47)</f>
        <v>9.7014925373134331E-2</v>
      </c>
    </row>
    <row r="48" spans="1:8" s="5" customFormat="1" ht="24.95" customHeight="1" x14ac:dyDescent="0.25">
      <c r="A48" s="6" t="s">
        <v>126</v>
      </c>
      <c r="B48" s="6">
        <v>182</v>
      </c>
      <c r="C48" s="6">
        <v>24</v>
      </c>
      <c r="D48" s="7">
        <f>SUM(C48/B48)</f>
        <v>0.13186813186813187</v>
      </c>
      <c r="E48" s="6">
        <v>129</v>
      </c>
      <c r="F48" s="7">
        <f>SUM(E48/B48)</f>
        <v>0.70879120879120883</v>
      </c>
      <c r="G48" s="6">
        <v>47</v>
      </c>
      <c r="H48" s="7">
        <f>SUM(G48/E48)</f>
        <v>0.36434108527131781</v>
      </c>
    </row>
    <row r="49" spans="1:8" s="5" customFormat="1" ht="24.95" customHeight="1" x14ac:dyDescent="0.25">
      <c r="A49" s="6" t="s">
        <v>36</v>
      </c>
      <c r="B49" s="6">
        <v>2025</v>
      </c>
      <c r="C49" s="6"/>
      <c r="D49" s="7"/>
      <c r="E49" s="6">
        <v>1135</v>
      </c>
      <c r="F49" s="7">
        <f>SUM(E49/B49)</f>
        <v>0.56049382716049378</v>
      </c>
      <c r="G49" s="6">
        <v>170</v>
      </c>
      <c r="H49" s="7">
        <f>SUM(G49/E49)</f>
        <v>0.14977973568281938</v>
      </c>
    </row>
    <row r="50" spans="1:8" s="5" customFormat="1" ht="24.95" customHeight="1" x14ac:dyDescent="0.25">
      <c r="A50" s="6" t="s">
        <v>147</v>
      </c>
      <c r="B50" s="6">
        <v>810</v>
      </c>
      <c r="C50" s="6">
        <v>140</v>
      </c>
      <c r="D50" s="7">
        <f>SUM(C50/B50)</f>
        <v>0.1728395061728395</v>
      </c>
      <c r="E50" s="6"/>
      <c r="F50" s="7"/>
      <c r="G50" s="6"/>
      <c r="H50" s="7"/>
    </row>
    <row r="51" spans="1:8" s="5" customFormat="1" ht="24.95" customHeight="1" x14ac:dyDescent="0.25">
      <c r="A51" s="6" t="s">
        <v>157</v>
      </c>
      <c r="B51" s="6">
        <v>2008</v>
      </c>
      <c r="C51" s="6">
        <v>100</v>
      </c>
      <c r="D51" s="7">
        <f>SUM(C51/B51)</f>
        <v>4.9800796812749001E-2</v>
      </c>
      <c r="E51" s="6">
        <v>455</v>
      </c>
      <c r="F51" s="7">
        <f>SUM(E51/B51)</f>
        <v>0.22659362549800796</v>
      </c>
      <c r="G51" s="6">
        <v>30</v>
      </c>
      <c r="H51" s="7">
        <f>SUM(G51/E51)</f>
        <v>6.5934065934065936E-2</v>
      </c>
    </row>
    <row r="52" spans="1:8" s="5" customFormat="1" ht="24.95" customHeight="1" x14ac:dyDescent="0.25">
      <c r="A52" s="6" t="s">
        <v>192</v>
      </c>
      <c r="B52" s="6">
        <v>15298</v>
      </c>
      <c r="C52" s="6">
        <v>252</v>
      </c>
      <c r="D52" s="7">
        <f>SUM(C52/B52)</f>
        <v>1.6472741534841157E-2</v>
      </c>
      <c r="E52" s="6">
        <v>6310</v>
      </c>
      <c r="F52" s="7">
        <f>SUM(E52/B52)</f>
        <v>0.41247221859066546</v>
      </c>
      <c r="G52" s="6">
        <v>632</v>
      </c>
      <c r="H52" s="7">
        <f>SUM(G52/E52)</f>
        <v>0.10015847860538828</v>
      </c>
    </row>
    <row r="53" spans="1:8" s="5" customFormat="1" ht="24.95" customHeight="1" x14ac:dyDescent="0.25">
      <c r="A53" s="6" t="s">
        <v>35</v>
      </c>
      <c r="B53" s="6">
        <v>743</v>
      </c>
      <c r="C53" s="6"/>
      <c r="D53" s="7"/>
      <c r="E53" s="6">
        <v>744</v>
      </c>
      <c r="F53" s="7">
        <f>SUM(E53/B53)</f>
        <v>1.0013458950201883</v>
      </c>
      <c r="G53" s="6">
        <v>83</v>
      </c>
      <c r="H53" s="7">
        <f>SUM(G53/E53)</f>
        <v>0.11155913978494623</v>
      </c>
    </row>
    <row r="54" spans="1:8" s="5" customFormat="1" ht="24.95" customHeight="1" x14ac:dyDescent="0.25">
      <c r="A54" s="6" t="s">
        <v>127</v>
      </c>
      <c r="B54" s="6">
        <v>3401</v>
      </c>
      <c r="C54" s="6">
        <v>149</v>
      </c>
      <c r="D54" s="7">
        <f>SUM(C54/B54)</f>
        <v>4.3810643928256399E-2</v>
      </c>
      <c r="E54" s="6">
        <v>1563</v>
      </c>
      <c r="F54" s="7">
        <f>SUM(E54/B54)</f>
        <v>0.45957071449573655</v>
      </c>
      <c r="G54" s="6">
        <v>115</v>
      </c>
      <c r="H54" s="7">
        <f>SUM(G54/E54)</f>
        <v>7.3576455534229049E-2</v>
      </c>
    </row>
    <row r="55" spans="1:8" s="5" customFormat="1" ht="24.95" customHeight="1" x14ac:dyDescent="0.25">
      <c r="A55" s="6" t="s">
        <v>32</v>
      </c>
      <c r="B55" s="6">
        <v>1257</v>
      </c>
      <c r="C55" s="6">
        <v>107</v>
      </c>
      <c r="D55" s="7">
        <f>SUM(C55/B55)</f>
        <v>8.5123309466984889E-2</v>
      </c>
      <c r="E55" s="6">
        <v>545</v>
      </c>
      <c r="F55" s="7">
        <f>SUM(E55/B55)</f>
        <v>0.43357199681782022</v>
      </c>
      <c r="G55" s="6">
        <v>32</v>
      </c>
      <c r="H55" s="7">
        <f>SUM(G55/E55)</f>
        <v>5.8715596330275233E-2</v>
      </c>
    </row>
    <row r="56" spans="1:8" s="5" customFormat="1" ht="24.95" customHeight="1" x14ac:dyDescent="0.25">
      <c r="A56" s="6" t="s">
        <v>28</v>
      </c>
      <c r="B56" s="6">
        <v>706</v>
      </c>
      <c r="C56" s="6">
        <v>83</v>
      </c>
      <c r="D56" s="7">
        <f>SUM(C56/B56)</f>
        <v>0.11756373937677053</v>
      </c>
      <c r="E56" s="6"/>
      <c r="F56" s="7"/>
      <c r="G56" s="6"/>
      <c r="H56" s="7"/>
    </row>
    <row r="57" spans="1:8" s="5" customFormat="1" ht="24.95" customHeight="1" x14ac:dyDescent="0.25">
      <c r="A57" s="6" t="s">
        <v>104</v>
      </c>
      <c r="B57" s="6">
        <v>1083</v>
      </c>
      <c r="C57" s="6">
        <v>91</v>
      </c>
      <c r="D57" s="7">
        <f>SUM(C57/B57)</f>
        <v>8.4025854108956605E-2</v>
      </c>
      <c r="E57" s="6"/>
      <c r="F57" s="7"/>
      <c r="G57" s="6"/>
      <c r="H57" s="7"/>
    </row>
    <row r="58" spans="1:8" s="5" customFormat="1" ht="24.95" customHeight="1" x14ac:dyDescent="0.25">
      <c r="A58" s="6" t="s">
        <v>115</v>
      </c>
      <c r="B58" s="6">
        <v>862</v>
      </c>
      <c r="C58" s="6">
        <v>80</v>
      </c>
      <c r="D58" s="7">
        <f>SUM(C58/B58)</f>
        <v>9.2807424593967514E-2</v>
      </c>
      <c r="E58" s="6">
        <v>342</v>
      </c>
      <c r="F58" s="7">
        <f>SUM(E58/B58)</f>
        <v>0.39675174013921116</v>
      </c>
      <c r="G58" s="6">
        <v>40</v>
      </c>
      <c r="H58" s="7">
        <f>SUM(G58/E58)</f>
        <v>0.11695906432748537</v>
      </c>
    </row>
    <row r="59" spans="1:8" s="5" customFormat="1" ht="24.95" customHeight="1" x14ac:dyDescent="0.25">
      <c r="A59" s="6" t="s">
        <v>42</v>
      </c>
      <c r="B59" s="6">
        <v>3304</v>
      </c>
      <c r="C59" s="6">
        <v>162</v>
      </c>
      <c r="D59" s="7">
        <f>SUM(C59/B59)</f>
        <v>4.9031476997578691E-2</v>
      </c>
      <c r="E59" s="6">
        <v>1412</v>
      </c>
      <c r="F59" s="7">
        <f>SUM(E59/B59)</f>
        <v>0.42736077481840196</v>
      </c>
      <c r="G59" s="6">
        <v>138</v>
      </c>
      <c r="H59" s="7">
        <f>SUM(G59/E59)</f>
        <v>9.7733711048158645E-2</v>
      </c>
    </row>
    <row r="60" spans="1:8" s="5" customFormat="1" ht="24.95" customHeight="1" x14ac:dyDescent="0.25">
      <c r="A60" s="6" t="s">
        <v>72</v>
      </c>
      <c r="B60" s="6">
        <v>736</v>
      </c>
      <c r="C60" s="6">
        <v>100</v>
      </c>
      <c r="D60" s="7">
        <f>SUM(C60/B60)</f>
        <v>0.1358695652173913</v>
      </c>
      <c r="E60" s="6"/>
      <c r="F60" s="7"/>
      <c r="G60" s="6"/>
      <c r="H60" s="7"/>
    </row>
    <row r="61" spans="1:8" s="5" customFormat="1" ht="24.95" customHeight="1" x14ac:dyDescent="0.25">
      <c r="A61" s="6" t="s">
        <v>2</v>
      </c>
      <c r="B61" s="6">
        <v>158</v>
      </c>
      <c r="C61" s="6">
        <v>31</v>
      </c>
      <c r="D61" s="7">
        <f>SUM(C61/B61)</f>
        <v>0.19620253164556961</v>
      </c>
      <c r="E61" s="6">
        <v>93</v>
      </c>
      <c r="F61" s="7">
        <f>SUM(E61/B61)</f>
        <v>0.58860759493670889</v>
      </c>
      <c r="G61" s="6">
        <v>5</v>
      </c>
      <c r="H61" s="7">
        <f>SUM(G61/E61)</f>
        <v>5.3763440860215055E-2</v>
      </c>
    </row>
    <row r="62" spans="1:8" s="5" customFormat="1" ht="24.95" customHeight="1" x14ac:dyDescent="0.25">
      <c r="A62" s="6" t="s">
        <v>19</v>
      </c>
      <c r="B62" s="6">
        <v>491</v>
      </c>
      <c r="C62" s="6"/>
      <c r="D62" s="7"/>
      <c r="E62" s="6">
        <v>312</v>
      </c>
      <c r="F62" s="7">
        <f>SUM(E62/B62)</f>
        <v>0.63543788187372707</v>
      </c>
      <c r="G62" s="6">
        <v>75</v>
      </c>
      <c r="H62" s="7">
        <f>SUM(G62/E62)</f>
        <v>0.24038461538461539</v>
      </c>
    </row>
    <row r="63" spans="1:8" s="5" customFormat="1" ht="24.95" customHeight="1" x14ac:dyDescent="0.25">
      <c r="A63" s="6" t="s">
        <v>182</v>
      </c>
      <c r="B63" s="6">
        <v>556</v>
      </c>
      <c r="C63" s="6">
        <v>120</v>
      </c>
      <c r="D63" s="7">
        <f>SUM(C63/B63)</f>
        <v>0.21582733812949639</v>
      </c>
      <c r="E63" s="6"/>
      <c r="F63" s="7"/>
      <c r="G63" s="6"/>
      <c r="H63" s="7"/>
    </row>
    <row r="64" spans="1:8" s="5" customFormat="1" ht="24.95" customHeight="1" x14ac:dyDescent="0.25">
      <c r="A64" s="6" t="s">
        <v>21</v>
      </c>
      <c r="B64" s="6">
        <v>655</v>
      </c>
      <c r="C64" s="6">
        <v>156</v>
      </c>
      <c r="D64" s="7">
        <f>SUM(C64/B64)</f>
        <v>0.2381679389312977</v>
      </c>
      <c r="E64" s="6"/>
      <c r="F64" s="7"/>
      <c r="G64" s="6"/>
      <c r="H64" s="7"/>
    </row>
    <row r="65" spans="1:8" s="5" customFormat="1" ht="24.95" customHeight="1" x14ac:dyDescent="0.25">
      <c r="A65" s="6" t="s">
        <v>7</v>
      </c>
      <c r="B65" s="6">
        <v>190</v>
      </c>
      <c r="C65" s="6">
        <v>25</v>
      </c>
      <c r="D65" s="7">
        <f>SUM(C65/B65)</f>
        <v>0.13157894736842105</v>
      </c>
      <c r="E65" s="6">
        <v>110</v>
      </c>
      <c r="F65" s="7">
        <f>SUM(E65/B65)</f>
        <v>0.57894736842105265</v>
      </c>
      <c r="G65" s="6">
        <v>7</v>
      </c>
      <c r="H65" s="7">
        <f>SUM(G65/E65)</f>
        <v>6.363636363636363E-2</v>
      </c>
    </row>
    <row r="66" spans="1:8" s="5" customFormat="1" ht="24.95" customHeight="1" x14ac:dyDescent="0.25">
      <c r="A66" s="6" t="s">
        <v>148</v>
      </c>
      <c r="B66" s="6">
        <v>1593</v>
      </c>
      <c r="C66" s="6"/>
      <c r="D66" s="7"/>
      <c r="E66" s="6">
        <v>764</v>
      </c>
      <c r="F66" s="7">
        <f>SUM(E66/B66)</f>
        <v>0.47959824231010673</v>
      </c>
      <c r="G66" s="6">
        <v>86</v>
      </c>
      <c r="H66" s="7">
        <f>SUM(G66/E66)</f>
        <v>0.112565445026178</v>
      </c>
    </row>
    <row r="67" spans="1:8" s="5" customFormat="1" ht="24.95" customHeight="1" x14ac:dyDescent="0.25">
      <c r="A67" s="6" t="s">
        <v>172</v>
      </c>
      <c r="B67" s="6">
        <v>8000</v>
      </c>
      <c r="C67" s="6"/>
      <c r="D67" s="7"/>
      <c r="E67" s="6">
        <v>2460</v>
      </c>
      <c r="F67" s="7">
        <f>SUM(E67/B67)</f>
        <v>0.3075</v>
      </c>
      <c r="G67" s="6">
        <v>346</v>
      </c>
      <c r="H67" s="7">
        <f>SUM(G67/E67)</f>
        <v>0.14065040650406505</v>
      </c>
    </row>
    <row r="68" spans="1:8" s="5" customFormat="1" ht="24.95" customHeight="1" x14ac:dyDescent="0.25">
      <c r="A68" s="6" t="s">
        <v>107</v>
      </c>
      <c r="B68" s="6">
        <v>2524</v>
      </c>
      <c r="C68" s="6">
        <v>150</v>
      </c>
      <c r="D68" s="7">
        <f>SUM(C68/B68)</f>
        <v>5.9429477020602216E-2</v>
      </c>
      <c r="E68" s="6">
        <v>1268</v>
      </c>
      <c r="F68" s="7">
        <f>SUM(E68/B68)</f>
        <v>0.50237717908082413</v>
      </c>
      <c r="G68" s="6">
        <v>97</v>
      </c>
      <c r="H68" s="7">
        <f>SUM(G68/E68)</f>
        <v>7.649842271293375E-2</v>
      </c>
    </row>
    <row r="69" spans="1:8" s="5" customFormat="1" ht="24.95" customHeight="1" x14ac:dyDescent="0.25">
      <c r="A69" s="6" t="s">
        <v>78</v>
      </c>
      <c r="B69" s="6">
        <v>1950</v>
      </c>
      <c r="C69" s="6">
        <v>175</v>
      </c>
      <c r="D69" s="7">
        <f>SUM(C69/B69)</f>
        <v>8.9743589743589744E-2</v>
      </c>
      <c r="E69" s="6">
        <v>746</v>
      </c>
      <c r="F69" s="7">
        <f>SUM(E69/B69)</f>
        <v>0.38256410256410256</v>
      </c>
      <c r="G69" s="6">
        <v>70</v>
      </c>
      <c r="H69" s="7">
        <f>SUM(G69/E69)</f>
        <v>9.3833780160857902E-2</v>
      </c>
    </row>
    <row r="70" spans="1:8" s="5" customFormat="1" ht="24.95" customHeight="1" x14ac:dyDescent="0.25">
      <c r="A70" s="6" t="s">
        <v>103</v>
      </c>
      <c r="B70" s="6">
        <v>3767</v>
      </c>
      <c r="C70" s="6"/>
      <c r="D70" s="7"/>
      <c r="E70" s="6">
        <v>1752</v>
      </c>
      <c r="F70" s="7">
        <f>SUM(E70/B70)</f>
        <v>0.46509158481550306</v>
      </c>
      <c r="G70" s="6">
        <v>280</v>
      </c>
      <c r="H70" s="7">
        <f>SUM(G70/E70)</f>
        <v>0.15981735159817351</v>
      </c>
    </row>
    <row r="71" spans="1:8" s="5" customFormat="1" ht="24.95" customHeight="1" x14ac:dyDescent="0.25">
      <c r="A71" s="6" t="s">
        <v>49</v>
      </c>
      <c r="B71" s="6">
        <v>386</v>
      </c>
      <c r="C71" s="6">
        <v>74</v>
      </c>
      <c r="D71" s="7">
        <f>SUM(C71/B71)</f>
        <v>0.19170984455958548</v>
      </c>
      <c r="E71" s="6"/>
      <c r="F71" s="7"/>
      <c r="G71" s="6"/>
      <c r="H71" s="7"/>
    </row>
    <row r="72" spans="1:8" s="5" customFormat="1" ht="24.95" customHeight="1" x14ac:dyDescent="0.25">
      <c r="A72" s="6" t="s">
        <v>185</v>
      </c>
      <c r="B72" s="6">
        <v>495</v>
      </c>
      <c r="C72" s="6">
        <v>80</v>
      </c>
      <c r="D72" s="7">
        <f>SUM(C72/B72)</f>
        <v>0.16161616161616163</v>
      </c>
      <c r="E72" s="6">
        <v>245</v>
      </c>
      <c r="F72" s="7">
        <f>SUM(E72/B72)</f>
        <v>0.49494949494949497</v>
      </c>
      <c r="G72" s="6">
        <v>25</v>
      </c>
      <c r="H72" s="7">
        <f>SUM(G72/E72)</f>
        <v>0.10204081632653061</v>
      </c>
    </row>
    <row r="73" spans="1:8" s="5" customFormat="1" ht="24.95" customHeight="1" x14ac:dyDescent="0.25">
      <c r="A73" s="6" t="s">
        <v>11</v>
      </c>
      <c r="B73" s="6">
        <v>1521</v>
      </c>
      <c r="C73" s="6"/>
      <c r="D73" s="7"/>
      <c r="E73" s="6"/>
      <c r="F73" s="7"/>
      <c r="G73" s="6"/>
      <c r="H73" s="7"/>
    </row>
    <row r="74" spans="1:8" s="5" customFormat="1" ht="24.95" customHeight="1" x14ac:dyDescent="0.25">
      <c r="A74" s="6" t="s">
        <v>181</v>
      </c>
      <c r="B74" s="6">
        <v>2017</v>
      </c>
      <c r="C74" s="6">
        <v>156</v>
      </c>
      <c r="D74" s="7">
        <f>SUM(C74/B74)</f>
        <v>7.734258800198314E-2</v>
      </c>
      <c r="E74" s="6">
        <v>856</v>
      </c>
      <c r="F74" s="7">
        <f>SUM(E74/B74)</f>
        <v>0.42439266236985623</v>
      </c>
      <c r="G74" s="6">
        <v>123</v>
      </c>
      <c r="H74" s="7">
        <f>SUM(G74/E74)</f>
        <v>0.14369158878504673</v>
      </c>
    </row>
    <row r="75" spans="1:8" s="5" customFormat="1" ht="24.95" customHeight="1" x14ac:dyDescent="0.25">
      <c r="A75" s="6" t="s">
        <v>69</v>
      </c>
      <c r="B75" s="6">
        <v>315</v>
      </c>
      <c r="C75" s="6">
        <v>35</v>
      </c>
      <c r="D75" s="7">
        <f>SUM(C75/B75)</f>
        <v>0.1111111111111111</v>
      </c>
      <c r="E75" s="6">
        <v>135</v>
      </c>
      <c r="F75" s="7">
        <f>SUM(E75/B75)</f>
        <v>0.42857142857142855</v>
      </c>
      <c r="G75" s="6">
        <v>8</v>
      </c>
      <c r="H75" s="7">
        <f>SUM(G75/E75)</f>
        <v>5.9259259259259262E-2</v>
      </c>
    </row>
    <row r="76" spans="1:8" s="5" customFormat="1" ht="24.95" customHeight="1" x14ac:dyDescent="0.25">
      <c r="A76" s="6" t="s">
        <v>100</v>
      </c>
      <c r="B76" s="6">
        <v>700</v>
      </c>
      <c r="C76" s="6">
        <v>100</v>
      </c>
      <c r="D76" s="7">
        <f>SUM(C76/B76)</f>
        <v>0.14285714285714285</v>
      </c>
      <c r="E76" s="6"/>
      <c r="F76" s="7"/>
      <c r="G76" s="6"/>
      <c r="H76" s="7"/>
    </row>
    <row r="77" spans="1:8" s="5" customFormat="1" ht="24.95" customHeight="1" x14ac:dyDescent="0.25">
      <c r="A77" s="6" t="s">
        <v>79</v>
      </c>
      <c r="B77" s="6">
        <v>389</v>
      </c>
      <c r="C77" s="6"/>
      <c r="D77" s="7"/>
      <c r="E77" s="6">
        <v>242</v>
      </c>
      <c r="F77" s="7">
        <f>SUM(E77/B77)</f>
        <v>0.62210796915167099</v>
      </c>
      <c r="G77" s="6">
        <v>38</v>
      </c>
      <c r="H77" s="7">
        <f>SUM(G77/E77)</f>
        <v>0.15702479338842976</v>
      </c>
    </row>
    <row r="78" spans="1:8" s="5" customFormat="1" ht="24.95" customHeight="1" x14ac:dyDescent="0.25">
      <c r="A78" s="6" t="s">
        <v>67</v>
      </c>
      <c r="B78" s="6">
        <v>321</v>
      </c>
      <c r="C78" s="6">
        <v>60</v>
      </c>
      <c r="D78" s="7">
        <f>SUM(C78/B78)</f>
        <v>0.18691588785046728</v>
      </c>
      <c r="E78" s="6"/>
      <c r="F78" s="7"/>
      <c r="G78" s="6"/>
      <c r="H78" s="7"/>
    </row>
    <row r="79" spans="1:8" s="5" customFormat="1" ht="24.95" customHeight="1" x14ac:dyDescent="0.25">
      <c r="A79" s="6" t="s">
        <v>176</v>
      </c>
      <c r="B79" s="6">
        <v>2908</v>
      </c>
      <c r="C79" s="6">
        <v>330</v>
      </c>
      <c r="D79" s="7">
        <f>SUM(C79/B79)</f>
        <v>0.11348005502063274</v>
      </c>
      <c r="E79" s="6">
        <v>1095</v>
      </c>
      <c r="F79" s="7">
        <f>SUM(E79/B79)</f>
        <v>0.37654745529573591</v>
      </c>
      <c r="G79" s="6">
        <v>105</v>
      </c>
      <c r="H79" s="7">
        <f>SUM(G79/E79)</f>
        <v>9.5890410958904104E-2</v>
      </c>
    </row>
    <row r="80" spans="1:8" s="5" customFormat="1" ht="24.95" customHeight="1" x14ac:dyDescent="0.25">
      <c r="A80" s="6" t="s">
        <v>70</v>
      </c>
      <c r="B80" s="6">
        <v>3946</v>
      </c>
      <c r="C80" s="6">
        <v>250</v>
      </c>
      <c r="D80" s="7">
        <f>SUM(C80/B80)</f>
        <v>6.3355296502787636E-2</v>
      </c>
      <c r="E80" s="6">
        <v>2056</v>
      </c>
      <c r="F80" s="7">
        <f>SUM(E80/B80)</f>
        <v>0.52103395843892553</v>
      </c>
      <c r="G80" s="6">
        <v>347</v>
      </c>
      <c r="H80" s="7">
        <f>SUM(G80/E80)</f>
        <v>0.16877431906614787</v>
      </c>
    </row>
    <row r="81" spans="1:8" s="5" customFormat="1" ht="24.95" customHeight="1" x14ac:dyDescent="0.25">
      <c r="A81" s="6" t="s">
        <v>20</v>
      </c>
      <c r="B81" s="6">
        <v>2005</v>
      </c>
      <c r="C81" s="6">
        <v>154</v>
      </c>
      <c r="D81" s="7">
        <f>SUM(C81/B81)</f>
        <v>7.680798004987531E-2</v>
      </c>
      <c r="E81" s="6">
        <v>632</v>
      </c>
      <c r="F81" s="7">
        <f>SUM(E81/B81)</f>
        <v>0.31521197007481294</v>
      </c>
      <c r="G81" s="6">
        <v>72</v>
      </c>
      <c r="H81" s="7">
        <f>SUM(G81/E81)</f>
        <v>0.11392405063291139</v>
      </c>
    </row>
    <row r="82" spans="1:8" s="5" customFormat="1" ht="24.95" customHeight="1" x14ac:dyDescent="0.25">
      <c r="A82" s="6" t="s">
        <v>114</v>
      </c>
      <c r="B82" s="6">
        <v>356</v>
      </c>
      <c r="C82" s="6">
        <v>66</v>
      </c>
      <c r="D82" s="7">
        <f>SUM(C82/B82)</f>
        <v>0.1853932584269663</v>
      </c>
      <c r="E82" s="6"/>
      <c r="F82" s="7"/>
      <c r="G82" s="6"/>
      <c r="H82" s="7"/>
    </row>
    <row r="83" spans="1:8" s="5" customFormat="1" ht="24.95" customHeight="1" x14ac:dyDescent="0.25">
      <c r="A83" s="6" t="s">
        <v>5</v>
      </c>
      <c r="B83" s="6">
        <v>108</v>
      </c>
      <c r="C83" s="6">
        <v>36</v>
      </c>
      <c r="D83" s="7">
        <f>SUM(C83/B83)</f>
        <v>0.33333333333333331</v>
      </c>
      <c r="E83" s="6"/>
      <c r="F83" s="7"/>
      <c r="G83" s="6"/>
      <c r="H83" s="7"/>
    </row>
    <row r="84" spans="1:8" s="5" customFormat="1" ht="24.95" customHeight="1" x14ac:dyDescent="0.25">
      <c r="A84" s="6" t="s">
        <v>164</v>
      </c>
      <c r="B84" s="6">
        <v>1002</v>
      </c>
      <c r="C84" s="6">
        <v>120</v>
      </c>
      <c r="D84" s="7">
        <f>SUM(C84/B84)</f>
        <v>0.11976047904191617</v>
      </c>
      <c r="E84" s="6">
        <v>584</v>
      </c>
      <c r="F84" s="7">
        <f>SUM(E84/B84)</f>
        <v>0.58283433133732532</v>
      </c>
      <c r="G84" s="6">
        <v>60</v>
      </c>
      <c r="H84" s="7">
        <f>SUM(G84/E84)</f>
        <v>0.10273972602739725</v>
      </c>
    </row>
    <row r="85" spans="1:8" s="5" customFormat="1" ht="24.95" customHeight="1" x14ac:dyDescent="0.25">
      <c r="A85" s="6" t="s">
        <v>26</v>
      </c>
      <c r="B85" s="6">
        <v>1293</v>
      </c>
      <c r="C85" s="6">
        <v>189</v>
      </c>
      <c r="D85" s="7">
        <f>SUM(C85/B85)</f>
        <v>0.14617169373549885</v>
      </c>
      <c r="E85" s="6"/>
      <c r="F85" s="7"/>
      <c r="G85" s="6"/>
      <c r="H85" s="7"/>
    </row>
    <row r="86" spans="1:8" s="5" customFormat="1" ht="24.95" customHeight="1" x14ac:dyDescent="0.25">
      <c r="A86" s="6" t="s">
        <v>51</v>
      </c>
      <c r="B86" s="6">
        <v>585</v>
      </c>
      <c r="C86" s="6">
        <v>207</v>
      </c>
      <c r="D86" s="7">
        <f>SUM(C86/B86)</f>
        <v>0.35384615384615387</v>
      </c>
      <c r="E86" s="6"/>
      <c r="F86" s="7"/>
      <c r="G86" s="6"/>
      <c r="H86" s="7"/>
    </row>
    <row r="87" spans="1:8" s="5" customFormat="1" ht="24.95" customHeight="1" x14ac:dyDescent="0.25">
      <c r="A87" s="6" t="s">
        <v>149</v>
      </c>
      <c r="B87" s="6">
        <v>1523</v>
      </c>
      <c r="C87" s="6"/>
      <c r="D87" s="7"/>
      <c r="E87" s="6">
        <v>726</v>
      </c>
      <c r="F87" s="7">
        <f>SUM(E87/B87)</f>
        <v>0.4766907419566645</v>
      </c>
      <c r="G87" s="6">
        <v>74</v>
      </c>
      <c r="H87" s="7">
        <f>SUM(G87/E87)</f>
        <v>0.10192837465564739</v>
      </c>
    </row>
    <row r="88" spans="1:8" s="5" customFormat="1" ht="24.95" customHeight="1" x14ac:dyDescent="0.25">
      <c r="A88" s="6" t="s">
        <v>61</v>
      </c>
      <c r="B88" s="6">
        <v>967</v>
      </c>
      <c r="C88" s="6"/>
      <c r="D88" s="7"/>
      <c r="E88" s="6">
        <v>335</v>
      </c>
      <c r="F88" s="7">
        <f>SUM(E88/B88)</f>
        <v>0.34643226473629785</v>
      </c>
      <c r="G88" s="6">
        <v>21</v>
      </c>
      <c r="H88" s="7">
        <f>SUM(G88/E88)</f>
        <v>6.2686567164179099E-2</v>
      </c>
    </row>
    <row r="89" spans="1:8" s="5" customFormat="1" ht="24.95" customHeight="1" x14ac:dyDescent="0.25">
      <c r="A89" s="6" t="s">
        <v>80</v>
      </c>
      <c r="B89" s="6">
        <v>3100</v>
      </c>
      <c r="C89" s="6">
        <v>119</v>
      </c>
      <c r="D89" s="7">
        <f>SUM(C89/B89)</f>
        <v>3.8387096774193545E-2</v>
      </c>
      <c r="E89" s="6">
        <v>972</v>
      </c>
      <c r="F89" s="7">
        <f>SUM(E89/B89)</f>
        <v>0.31354838709677418</v>
      </c>
      <c r="G89" s="6">
        <v>85</v>
      </c>
      <c r="H89" s="7">
        <f>SUM(G89/E89)</f>
        <v>8.7448559670781897E-2</v>
      </c>
    </row>
    <row r="90" spans="1:8" s="5" customFormat="1" ht="24.95" customHeight="1" x14ac:dyDescent="0.25">
      <c r="A90" s="6" t="s">
        <v>139</v>
      </c>
      <c r="B90" s="6">
        <v>133</v>
      </c>
      <c r="C90" s="6">
        <v>36</v>
      </c>
      <c r="D90" s="7">
        <f>SUM(C90/B90)</f>
        <v>0.27067669172932329</v>
      </c>
      <c r="E90" s="6"/>
      <c r="F90" s="7"/>
      <c r="G90" s="6"/>
      <c r="H90" s="7"/>
    </row>
    <row r="91" spans="1:8" s="5" customFormat="1" ht="24.95" customHeight="1" x14ac:dyDescent="0.25">
      <c r="A91" s="6" t="s">
        <v>94</v>
      </c>
      <c r="B91" s="6">
        <v>3595</v>
      </c>
      <c r="C91" s="6">
        <v>244</v>
      </c>
      <c r="D91" s="7">
        <f>SUM(C91/B91)</f>
        <v>6.7872044506258694E-2</v>
      </c>
      <c r="E91" s="6">
        <v>1478</v>
      </c>
      <c r="F91" s="7">
        <f>SUM(E91/B91)</f>
        <v>0.41112656467315717</v>
      </c>
      <c r="G91" s="6">
        <v>164</v>
      </c>
      <c r="H91" s="7">
        <f>SUM(G91/E91)</f>
        <v>0.11096075778078485</v>
      </c>
    </row>
    <row r="92" spans="1:8" s="5" customFormat="1" ht="24.95" customHeight="1" x14ac:dyDescent="0.25">
      <c r="A92" s="6" t="s">
        <v>71</v>
      </c>
      <c r="B92" s="6">
        <v>679</v>
      </c>
      <c r="C92" s="6"/>
      <c r="D92" s="7"/>
      <c r="E92" s="6">
        <v>402</v>
      </c>
      <c r="F92" s="7">
        <f>SUM(E92/B92)</f>
        <v>0.59204712812960236</v>
      </c>
      <c r="G92" s="6">
        <v>77</v>
      </c>
      <c r="H92" s="7">
        <f>SUM(G92/E92)</f>
        <v>0.19154228855721392</v>
      </c>
    </row>
    <row r="93" spans="1:8" s="5" customFormat="1" ht="24.95" customHeight="1" x14ac:dyDescent="0.25">
      <c r="A93" s="6" t="s">
        <v>10</v>
      </c>
      <c r="B93" s="6">
        <v>1093</v>
      </c>
      <c r="C93" s="6">
        <v>173</v>
      </c>
      <c r="D93" s="7">
        <f>SUM(C93/B93)</f>
        <v>0.15827996340347666</v>
      </c>
      <c r="E93" s="6">
        <v>476</v>
      </c>
      <c r="F93" s="7">
        <f>SUM(E93/B93)</f>
        <v>0.43549862763037511</v>
      </c>
      <c r="G93" s="6">
        <v>53</v>
      </c>
      <c r="H93" s="7">
        <f>SUM(G93/E93)</f>
        <v>0.11134453781512606</v>
      </c>
    </row>
    <row r="94" spans="1:8" s="5" customFormat="1" ht="24.95" customHeight="1" x14ac:dyDescent="0.25">
      <c r="A94" s="6" t="s">
        <v>13</v>
      </c>
      <c r="B94" s="6">
        <v>812</v>
      </c>
      <c r="C94" s="6"/>
      <c r="D94" s="7"/>
      <c r="E94" s="6">
        <v>385</v>
      </c>
      <c r="F94" s="7">
        <f>SUM(E94/B94)</f>
        <v>0.47413793103448276</v>
      </c>
      <c r="G94" s="6">
        <v>23</v>
      </c>
      <c r="H94" s="7">
        <f>SUM(G94/E94)</f>
        <v>5.9740259740259739E-2</v>
      </c>
    </row>
    <row r="95" spans="1:8" s="5" customFormat="1" ht="24.95" customHeight="1" x14ac:dyDescent="0.25">
      <c r="A95" s="6" t="s">
        <v>37</v>
      </c>
      <c r="B95" s="6">
        <v>1571</v>
      </c>
      <c r="C95" s="6">
        <v>200</v>
      </c>
      <c r="D95" s="7">
        <f>SUM(C95/B95)</f>
        <v>0.1273074474856779</v>
      </c>
      <c r="E95" s="6">
        <v>723</v>
      </c>
      <c r="F95" s="7">
        <f>SUM(E95/B95)</f>
        <v>0.46021642266072565</v>
      </c>
      <c r="G95" s="6">
        <v>158</v>
      </c>
      <c r="H95" s="7">
        <f>SUM(G95/E95)</f>
        <v>0.21853388658367912</v>
      </c>
    </row>
    <row r="96" spans="1:8" s="5" customFormat="1" ht="24.95" customHeight="1" x14ac:dyDescent="0.25">
      <c r="A96" s="6" t="s">
        <v>86</v>
      </c>
      <c r="B96" s="6">
        <v>7585</v>
      </c>
      <c r="C96" s="6"/>
      <c r="D96" s="7"/>
      <c r="E96" s="6">
        <v>3080</v>
      </c>
      <c r="F96" s="7">
        <f>SUM(E96/B96)</f>
        <v>0.40606460118655241</v>
      </c>
      <c r="G96" s="6">
        <v>406</v>
      </c>
      <c r="H96" s="7">
        <f>SUM(G96/E96)</f>
        <v>0.13181818181818181</v>
      </c>
    </row>
    <row r="97" spans="1:8" s="5" customFormat="1" ht="24.95" customHeight="1" x14ac:dyDescent="0.25">
      <c r="A97" s="6" t="s">
        <v>57</v>
      </c>
      <c r="B97" s="6">
        <v>1453</v>
      </c>
      <c r="C97" s="6"/>
      <c r="D97" s="7"/>
      <c r="E97" s="6">
        <v>797</v>
      </c>
      <c r="F97" s="7">
        <f>SUM(E97/B97)</f>
        <v>0.54852030282174813</v>
      </c>
      <c r="G97" s="6">
        <v>81</v>
      </c>
      <c r="H97" s="7">
        <f>SUM(G97/E97)</f>
        <v>0.10163111668757842</v>
      </c>
    </row>
    <row r="98" spans="1:8" s="5" customFormat="1" ht="24.95" customHeight="1" x14ac:dyDescent="0.25">
      <c r="A98" s="6" t="s">
        <v>59</v>
      </c>
      <c r="B98" s="6">
        <v>872</v>
      </c>
      <c r="C98" s="6">
        <v>111</v>
      </c>
      <c r="D98" s="7">
        <f>SUM(C98/B98)</f>
        <v>0.12729357798165136</v>
      </c>
      <c r="E98" s="6"/>
      <c r="F98" s="7"/>
      <c r="G98" s="6"/>
      <c r="H98" s="7"/>
    </row>
    <row r="99" spans="1:8" s="5" customFormat="1" ht="24.95" customHeight="1" x14ac:dyDescent="0.25">
      <c r="A99" s="6" t="s">
        <v>128</v>
      </c>
      <c r="B99" s="6">
        <v>1340</v>
      </c>
      <c r="C99" s="6"/>
      <c r="D99" s="7"/>
      <c r="E99" s="6">
        <v>631</v>
      </c>
      <c r="F99" s="7">
        <f>SUM(E99/B99)</f>
        <v>0.47089552238805971</v>
      </c>
      <c r="G99" s="6">
        <v>631</v>
      </c>
      <c r="H99" s="7">
        <f>SUM(G99/E99)</f>
        <v>1</v>
      </c>
    </row>
    <row r="100" spans="1:8" s="5" customFormat="1" ht="24.95" customHeight="1" x14ac:dyDescent="0.25">
      <c r="A100" s="6" t="s">
        <v>150</v>
      </c>
      <c r="B100" s="6">
        <v>489</v>
      </c>
      <c r="C100" s="6">
        <v>48</v>
      </c>
      <c r="D100" s="7">
        <f>SUM(C100/B100)</f>
        <v>9.815950920245399E-2</v>
      </c>
      <c r="E100" s="6">
        <v>187</v>
      </c>
      <c r="F100" s="7">
        <f>SUM(E100/B100)</f>
        <v>0.3824130879345603</v>
      </c>
      <c r="G100" s="6">
        <v>23</v>
      </c>
      <c r="H100" s="7">
        <f>SUM(G100/E100)</f>
        <v>0.12299465240641712</v>
      </c>
    </row>
    <row r="101" spans="1:8" s="5" customFormat="1" ht="24.95" customHeight="1" x14ac:dyDescent="0.25">
      <c r="A101" s="6" t="s">
        <v>173</v>
      </c>
      <c r="B101" s="6">
        <v>3409</v>
      </c>
      <c r="C101" s="6">
        <v>148</v>
      </c>
      <c r="D101" s="7">
        <f>SUM(C101/B101)</f>
        <v>4.341449105309475E-2</v>
      </c>
      <c r="E101" s="6">
        <v>1352</v>
      </c>
      <c r="F101" s="7">
        <f>SUM(E101/B101)</f>
        <v>0.39659724259313583</v>
      </c>
      <c r="G101" s="6">
        <v>130</v>
      </c>
      <c r="H101" s="7">
        <f>SUM(G101/E101)</f>
        <v>9.6153846153846159E-2</v>
      </c>
    </row>
    <row r="102" spans="1:8" s="5" customFormat="1" ht="24.95" customHeight="1" x14ac:dyDescent="0.25">
      <c r="A102" s="6" t="s">
        <v>55</v>
      </c>
      <c r="B102" s="6">
        <v>989</v>
      </c>
      <c r="C102" s="6"/>
      <c r="D102" s="7"/>
      <c r="E102" s="6">
        <v>466</v>
      </c>
      <c r="F102" s="7">
        <f>SUM(E102/B102)</f>
        <v>0.47118301314459049</v>
      </c>
      <c r="G102" s="6">
        <v>62</v>
      </c>
      <c r="H102" s="7">
        <f>SUM(G102/E102)</f>
        <v>0.13304721030042918</v>
      </c>
    </row>
    <row r="103" spans="1:8" s="5" customFormat="1" ht="24.95" customHeight="1" x14ac:dyDescent="0.25">
      <c r="A103" s="6" t="s">
        <v>117</v>
      </c>
      <c r="B103" s="6">
        <v>136</v>
      </c>
      <c r="C103" s="6">
        <v>14</v>
      </c>
      <c r="D103" s="7">
        <f>SUM(C103/B103)</f>
        <v>0.10294117647058823</v>
      </c>
      <c r="E103" s="6">
        <v>56</v>
      </c>
      <c r="F103" s="7">
        <f>SUM(E103/B103)</f>
        <v>0.41176470588235292</v>
      </c>
      <c r="G103" s="6">
        <v>1</v>
      </c>
      <c r="H103" s="7">
        <f>SUM(G103/E103)</f>
        <v>1.7857142857142856E-2</v>
      </c>
    </row>
    <row r="104" spans="1:8" s="5" customFormat="1" ht="24.95" customHeight="1" x14ac:dyDescent="0.25">
      <c r="A104" s="6" t="s">
        <v>34</v>
      </c>
      <c r="B104" s="6">
        <v>1234</v>
      </c>
      <c r="C104" s="6"/>
      <c r="D104" s="7"/>
      <c r="E104" s="6">
        <v>770</v>
      </c>
      <c r="F104" s="7">
        <f>SUM(E104/B104)</f>
        <v>0.62398703403565636</v>
      </c>
      <c r="G104" s="6">
        <v>43</v>
      </c>
      <c r="H104" s="7">
        <f>SUM(G104/E104)</f>
        <v>5.5844155844155842E-2</v>
      </c>
    </row>
    <row r="105" spans="1:8" s="5" customFormat="1" ht="24.95" customHeight="1" x14ac:dyDescent="0.25">
      <c r="A105" s="6" t="s">
        <v>87</v>
      </c>
      <c r="B105" s="6">
        <v>421</v>
      </c>
      <c r="C105" s="6">
        <v>60</v>
      </c>
      <c r="D105" s="7">
        <f>SUM(C105/B105)</f>
        <v>0.14251781472684086</v>
      </c>
      <c r="E105" s="6"/>
      <c r="F105" s="7"/>
      <c r="G105" s="6"/>
      <c r="H105" s="7"/>
    </row>
    <row r="106" spans="1:8" s="5" customFormat="1" ht="24.95" customHeight="1" x14ac:dyDescent="0.25">
      <c r="A106" s="6" t="s">
        <v>162</v>
      </c>
      <c r="B106" s="6">
        <v>1591</v>
      </c>
      <c r="C106" s="6"/>
      <c r="D106" s="7"/>
      <c r="E106" s="6">
        <v>615</v>
      </c>
      <c r="F106" s="7">
        <f>SUM(E106/B106)</f>
        <v>0.38654934003771213</v>
      </c>
      <c r="G106" s="6">
        <v>102</v>
      </c>
      <c r="H106" s="7">
        <f>SUM(G106/E106)</f>
        <v>0.16585365853658537</v>
      </c>
    </row>
    <row r="107" spans="1:8" s="5" customFormat="1" ht="24.95" customHeight="1" x14ac:dyDescent="0.25">
      <c r="A107" s="6" t="s">
        <v>183</v>
      </c>
      <c r="B107" s="6">
        <v>1168</v>
      </c>
      <c r="C107" s="6"/>
      <c r="D107" s="7"/>
      <c r="E107" s="6">
        <v>628</v>
      </c>
      <c r="F107" s="7">
        <f>SUM(E107/B107)</f>
        <v>0.53767123287671237</v>
      </c>
      <c r="G107" s="6">
        <v>98</v>
      </c>
      <c r="H107" s="7">
        <f>SUM(G107/E107)</f>
        <v>0.15605095541401273</v>
      </c>
    </row>
    <row r="108" spans="1:8" s="5" customFormat="1" ht="24.95" customHeight="1" x14ac:dyDescent="0.25">
      <c r="A108" s="6" t="s">
        <v>39</v>
      </c>
      <c r="B108" s="6">
        <v>3351</v>
      </c>
      <c r="C108" s="6"/>
      <c r="D108" s="7"/>
      <c r="E108" s="6">
        <v>942</v>
      </c>
      <c r="F108" s="7">
        <f>SUM(E108/B108)</f>
        <v>0.28111011638316918</v>
      </c>
      <c r="G108" s="6">
        <v>91</v>
      </c>
      <c r="H108" s="7">
        <f>SUM(G108/E108)</f>
        <v>9.6602972399150749E-2</v>
      </c>
    </row>
    <row r="109" spans="1:8" s="5" customFormat="1" ht="24.95" customHeight="1" x14ac:dyDescent="0.25">
      <c r="A109" s="6" t="s">
        <v>58</v>
      </c>
      <c r="B109" s="6">
        <v>694</v>
      </c>
      <c r="C109" s="6"/>
      <c r="D109" s="7"/>
      <c r="E109" s="6">
        <v>428</v>
      </c>
      <c r="F109" s="7">
        <f>SUM(E109/B109)</f>
        <v>0.61671469740634011</v>
      </c>
      <c r="G109" s="6">
        <v>89</v>
      </c>
      <c r="H109" s="7">
        <f>SUM(G109/E109)</f>
        <v>0.20794392523364486</v>
      </c>
    </row>
    <row r="110" spans="1:8" s="5" customFormat="1" ht="24.95" customHeight="1" x14ac:dyDescent="0.25">
      <c r="A110" s="6" t="s">
        <v>194</v>
      </c>
      <c r="B110" s="6">
        <v>968</v>
      </c>
      <c r="C110" s="6">
        <v>96</v>
      </c>
      <c r="D110" s="7">
        <f>SUM(C110/B110)</f>
        <v>9.9173553719008267E-2</v>
      </c>
      <c r="E110" s="6"/>
      <c r="F110" s="7"/>
      <c r="G110" s="6"/>
      <c r="H110" s="7"/>
    </row>
    <row r="111" spans="1:8" s="5" customFormat="1" ht="24.95" customHeight="1" x14ac:dyDescent="0.25">
      <c r="A111" s="6" t="s">
        <v>105</v>
      </c>
      <c r="B111" s="6">
        <v>3100</v>
      </c>
      <c r="C111" s="6"/>
      <c r="D111" s="7"/>
      <c r="E111" s="6">
        <v>1393</v>
      </c>
      <c r="F111" s="7">
        <f>SUM(E111/B111)</f>
        <v>0.44935483870967741</v>
      </c>
      <c r="G111" s="6">
        <v>113</v>
      </c>
      <c r="H111" s="7">
        <f>SUM(G111/E111)</f>
        <v>8.1119885139985637E-2</v>
      </c>
    </row>
    <row r="112" spans="1:8" s="5" customFormat="1" ht="24.95" customHeight="1" x14ac:dyDescent="0.25">
      <c r="A112" s="6" t="s">
        <v>50</v>
      </c>
      <c r="B112" s="6">
        <v>114</v>
      </c>
      <c r="C112" s="6">
        <v>16</v>
      </c>
      <c r="D112" s="7">
        <f>SUM(C112/B112)</f>
        <v>0.14035087719298245</v>
      </c>
      <c r="E112" s="6"/>
      <c r="F112" s="7"/>
      <c r="G112" s="6"/>
      <c r="H112" s="7"/>
    </row>
    <row r="113" spans="1:8" s="5" customFormat="1" ht="24.95" customHeight="1" x14ac:dyDescent="0.25">
      <c r="A113" s="6" t="s">
        <v>95</v>
      </c>
      <c r="B113" s="6">
        <v>3001</v>
      </c>
      <c r="C113" s="6"/>
      <c r="D113" s="7"/>
      <c r="E113" s="6">
        <v>1653</v>
      </c>
      <c r="F113" s="7">
        <f>SUM(E113/B113)</f>
        <v>0.55081639453515496</v>
      </c>
      <c r="G113" s="6">
        <v>114</v>
      </c>
      <c r="H113" s="7">
        <f>SUM(G113/E113)</f>
        <v>6.8965517241379309E-2</v>
      </c>
    </row>
    <row r="114" spans="1:8" s="5" customFormat="1" ht="24.95" customHeight="1" x14ac:dyDescent="0.25">
      <c r="A114" s="6" t="s">
        <v>116</v>
      </c>
      <c r="B114" s="6">
        <v>768</v>
      </c>
      <c r="C114" s="6">
        <v>82</v>
      </c>
      <c r="D114" s="7">
        <f>SUM(C114/B114)</f>
        <v>0.10677083333333333</v>
      </c>
      <c r="E114" s="6">
        <v>277</v>
      </c>
      <c r="F114" s="7">
        <f>SUM(E114/B114)</f>
        <v>0.36067708333333331</v>
      </c>
      <c r="G114" s="6">
        <v>15</v>
      </c>
      <c r="H114" s="7">
        <f>SUM(G114/E114)</f>
        <v>5.4151624548736461E-2</v>
      </c>
    </row>
    <row r="115" spans="1:8" s="5" customFormat="1" ht="24.95" customHeight="1" x14ac:dyDescent="0.25">
      <c r="A115" s="6" t="s">
        <v>44</v>
      </c>
      <c r="B115" s="6">
        <v>833</v>
      </c>
      <c r="C115" s="6"/>
      <c r="D115" s="7"/>
      <c r="E115" s="6">
        <v>415</v>
      </c>
      <c r="F115" s="7">
        <f>SUM(E115/B115)</f>
        <v>0.49819927971188477</v>
      </c>
      <c r="G115" s="6">
        <v>29</v>
      </c>
      <c r="H115" s="7">
        <f>SUM(G115/E115)</f>
        <v>6.9879518072289162E-2</v>
      </c>
    </row>
    <row r="116" spans="1:8" s="5" customFormat="1" ht="24.95" customHeight="1" x14ac:dyDescent="0.25">
      <c r="A116" s="6" t="s">
        <v>180</v>
      </c>
      <c r="B116" s="6">
        <v>440</v>
      </c>
      <c r="C116" s="6">
        <v>40</v>
      </c>
      <c r="D116" s="7">
        <f>SUM(C116/B116)</f>
        <v>9.0909090909090912E-2</v>
      </c>
      <c r="E116" s="6">
        <v>231</v>
      </c>
      <c r="F116" s="7">
        <f>SUM(E116/B116)</f>
        <v>0.52500000000000002</v>
      </c>
      <c r="G116" s="6">
        <v>34</v>
      </c>
      <c r="H116" s="7">
        <f>SUM(G116/E116)</f>
        <v>0.1471861471861472</v>
      </c>
    </row>
    <row r="117" spans="1:8" s="5" customFormat="1" ht="24.95" customHeight="1" x14ac:dyDescent="0.25">
      <c r="A117" s="6" t="s">
        <v>101</v>
      </c>
      <c r="B117" s="6">
        <v>1010</v>
      </c>
      <c r="C117" s="6"/>
      <c r="D117" s="7"/>
      <c r="E117" s="6">
        <v>496</v>
      </c>
      <c r="F117" s="7">
        <f>SUM(E117/B117)</f>
        <v>0.49108910891089108</v>
      </c>
      <c r="G117" s="6">
        <v>38</v>
      </c>
      <c r="H117" s="7">
        <f>SUM(G117/E117)</f>
        <v>7.6612903225806453E-2</v>
      </c>
    </row>
    <row r="118" spans="1:8" s="5" customFormat="1" ht="24.95" customHeight="1" x14ac:dyDescent="0.25">
      <c r="A118" s="6" t="s">
        <v>65</v>
      </c>
      <c r="B118" s="6">
        <v>659</v>
      </c>
      <c r="C118" s="6">
        <v>1</v>
      </c>
      <c r="D118" s="7">
        <f>SUM(C118/B118)</f>
        <v>1.5174506828528073E-3</v>
      </c>
      <c r="E118" s="6"/>
      <c r="F118" s="7"/>
      <c r="G118" s="6"/>
      <c r="H118" s="7"/>
    </row>
    <row r="119" spans="1:8" s="5" customFormat="1" ht="24.95" customHeight="1" x14ac:dyDescent="0.25">
      <c r="A119" s="6" t="s">
        <v>8</v>
      </c>
      <c r="B119" s="6">
        <v>305</v>
      </c>
      <c r="C119" s="6">
        <v>80</v>
      </c>
      <c r="D119" s="7">
        <f>SUM(C119/B119)</f>
        <v>0.26229508196721313</v>
      </c>
      <c r="E119" s="6"/>
      <c r="F119" s="7"/>
      <c r="G119" s="6"/>
      <c r="H119" s="7"/>
    </row>
    <row r="120" spans="1:8" s="5" customFormat="1" ht="24.95" customHeight="1" x14ac:dyDescent="0.25">
      <c r="A120" s="6" t="s">
        <v>81</v>
      </c>
      <c r="B120" s="6">
        <v>345</v>
      </c>
      <c r="C120" s="6">
        <v>77</v>
      </c>
      <c r="D120" s="7">
        <f>SUM(C120/B120)</f>
        <v>0.22318840579710145</v>
      </c>
      <c r="E120" s="6"/>
      <c r="F120" s="7"/>
      <c r="G120" s="6"/>
      <c r="H120" s="7"/>
    </row>
    <row r="121" spans="1:8" s="5" customFormat="1" ht="24.95" customHeight="1" x14ac:dyDescent="0.25">
      <c r="A121" s="6" t="s">
        <v>129</v>
      </c>
      <c r="B121" s="6">
        <v>911</v>
      </c>
      <c r="C121" s="6">
        <v>130</v>
      </c>
      <c r="D121" s="7">
        <f>SUM(C121/B121)</f>
        <v>0.14270032930845225</v>
      </c>
      <c r="E121" s="6">
        <v>433</v>
      </c>
      <c r="F121" s="7">
        <f>SUM(E121/B121)</f>
        <v>0.47530186608122943</v>
      </c>
      <c r="G121" s="6">
        <v>50</v>
      </c>
      <c r="H121" s="7">
        <f>SUM(G121/E121)</f>
        <v>0.11547344110854503</v>
      </c>
    </row>
    <row r="122" spans="1:8" s="5" customFormat="1" ht="24.95" customHeight="1" x14ac:dyDescent="0.25">
      <c r="A122" s="6" t="s">
        <v>89</v>
      </c>
      <c r="B122" s="6">
        <v>504</v>
      </c>
      <c r="C122" s="6">
        <v>100</v>
      </c>
      <c r="D122" s="7">
        <f>SUM(C122/B122)</f>
        <v>0.1984126984126984</v>
      </c>
      <c r="E122" s="6">
        <v>228</v>
      </c>
      <c r="F122" s="7">
        <f>SUM(E122/B122)</f>
        <v>0.45238095238095238</v>
      </c>
      <c r="G122" s="6">
        <v>16</v>
      </c>
      <c r="H122" s="7">
        <f>SUM(G122/E122)</f>
        <v>7.0175438596491224E-2</v>
      </c>
    </row>
    <row r="123" spans="1:8" s="5" customFormat="1" ht="24.95" customHeight="1" x14ac:dyDescent="0.25">
      <c r="A123" s="6" t="s">
        <v>17</v>
      </c>
      <c r="B123" s="6">
        <v>740</v>
      </c>
      <c r="C123" s="6">
        <v>179</v>
      </c>
      <c r="D123" s="7">
        <f>SUM(C123/B123)</f>
        <v>0.24189189189189189</v>
      </c>
      <c r="E123" s="6"/>
      <c r="F123" s="7"/>
      <c r="G123" s="6"/>
      <c r="H123" s="7"/>
    </row>
    <row r="124" spans="1:8" s="5" customFormat="1" ht="24.95" customHeight="1" x14ac:dyDescent="0.25">
      <c r="A124" s="6" t="s">
        <v>76</v>
      </c>
      <c r="B124" s="6">
        <v>1091</v>
      </c>
      <c r="C124" s="6">
        <v>128</v>
      </c>
      <c r="D124" s="7">
        <f>SUM(C124/B124)</f>
        <v>0.11732355637030248</v>
      </c>
      <c r="E124" s="6">
        <v>613</v>
      </c>
      <c r="F124" s="7">
        <f>SUM(E124/B124)</f>
        <v>0.56186984417965169</v>
      </c>
      <c r="G124" s="6">
        <v>62</v>
      </c>
      <c r="H124" s="7">
        <f>SUM(G124/E124)</f>
        <v>0.10114192495921696</v>
      </c>
    </row>
    <row r="125" spans="1:8" s="5" customFormat="1" ht="24.95" customHeight="1" x14ac:dyDescent="0.25">
      <c r="A125" s="6" t="s">
        <v>178</v>
      </c>
      <c r="B125" s="6">
        <v>1745</v>
      </c>
      <c r="C125" s="6">
        <v>75</v>
      </c>
      <c r="D125" s="7">
        <f>SUM(C125/B125)</f>
        <v>4.2979942693409739E-2</v>
      </c>
      <c r="E125" s="6">
        <v>850</v>
      </c>
      <c r="F125" s="7">
        <f>SUM(E125/B125)</f>
        <v>0.4871060171919771</v>
      </c>
      <c r="G125" s="6">
        <v>117</v>
      </c>
      <c r="H125" s="7">
        <f>SUM(G125/E125)</f>
        <v>0.1376470588235294</v>
      </c>
    </row>
    <row r="126" spans="1:8" s="5" customFormat="1" ht="24.95" customHeight="1" x14ac:dyDescent="0.25">
      <c r="A126" s="6" t="s">
        <v>38</v>
      </c>
      <c r="B126" s="6">
        <v>2811</v>
      </c>
      <c r="C126" s="6"/>
      <c r="D126" s="7"/>
      <c r="E126" s="6">
        <v>1466</v>
      </c>
      <c r="F126" s="7">
        <f>SUM(E126/B126)</f>
        <v>0.52152258982568478</v>
      </c>
      <c r="G126" s="6">
        <v>228</v>
      </c>
      <c r="H126" s="7">
        <f>SUM(G126/E126)</f>
        <v>0.15552523874488403</v>
      </c>
    </row>
    <row r="127" spans="1:8" s="5" customFormat="1" ht="24.95" customHeight="1" x14ac:dyDescent="0.25">
      <c r="A127" s="6" t="s">
        <v>118</v>
      </c>
      <c r="B127" s="6">
        <v>504</v>
      </c>
      <c r="C127" s="6">
        <v>50</v>
      </c>
      <c r="D127" s="7">
        <f>SUM(C127/B127)</f>
        <v>9.9206349206349201E-2</v>
      </c>
      <c r="E127" s="6"/>
      <c r="F127" s="7"/>
      <c r="G127" s="6"/>
      <c r="H127" s="7"/>
    </row>
    <row r="128" spans="1:8" s="5" customFormat="1" ht="24.95" customHeight="1" x14ac:dyDescent="0.25">
      <c r="A128" s="6" t="s">
        <v>60</v>
      </c>
      <c r="B128" s="6">
        <v>500</v>
      </c>
      <c r="C128" s="6"/>
      <c r="D128" s="7"/>
      <c r="E128" s="6">
        <v>262</v>
      </c>
      <c r="F128" s="7">
        <f>SUM(E128/B128)</f>
        <v>0.52400000000000002</v>
      </c>
      <c r="G128" s="6">
        <v>22</v>
      </c>
      <c r="H128" s="7">
        <f>SUM(G128/E128)</f>
        <v>8.3969465648854963E-2</v>
      </c>
    </row>
    <row r="129" spans="1:8" s="5" customFormat="1" ht="24.95" customHeight="1" x14ac:dyDescent="0.25">
      <c r="A129" s="6" t="s">
        <v>74</v>
      </c>
      <c r="B129" s="6">
        <v>1503</v>
      </c>
      <c r="C129" s="6"/>
      <c r="D129" s="7"/>
      <c r="E129" s="6">
        <v>482</v>
      </c>
      <c r="F129" s="7">
        <f>SUM(E129/B129)</f>
        <v>0.32069194943446439</v>
      </c>
      <c r="G129" s="6">
        <v>148</v>
      </c>
      <c r="H129" s="7">
        <f>SUM(G129/E129)</f>
        <v>0.30705394190871371</v>
      </c>
    </row>
    <row r="130" spans="1:8" s="5" customFormat="1" ht="24.95" customHeight="1" x14ac:dyDescent="0.25">
      <c r="A130" s="6" t="s">
        <v>83</v>
      </c>
      <c r="B130" s="6">
        <v>2919</v>
      </c>
      <c r="C130" s="6">
        <v>181</v>
      </c>
      <c r="D130" s="7">
        <f>SUM(C130/B130)</f>
        <v>6.2007536827680711E-2</v>
      </c>
      <c r="E130" s="6">
        <v>1897</v>
      </c>
      <c r="F130" s="7">
        <f>SUM(E130/B130)</f>
        <v>0.64988009592326135</v>
      </c>
      <c r="G130" s="6">
        <v>354</v>
      </c>
      <c r="H130" s="7">
        <f>SUM(G130/E130)</f>
        <v>0.18661043753294676</v>
      </c>
    </row>
    <row r="131" spans="1:8" s="5" customFormat="1" ht="24.95" customHeight="1" x14ac:dyDescent="0.25">
      <c r="A131" s="6" t="s">
        <v>68</v>
      </c>
      <c r="B131" s="6"/>
      <c r="C131" s="6">
        <v>50</v>
      </c>
      <c r="D131" s="7"/>
      <c r="E131" s="6">
        <v>154</v>
      </c>
      <c r="F131" s="7"/>
      <c r="G131" s="6">
        <v>5</v>
      </c>
      <c r="H131" s="7">
        <f>SUM(G131/E131)</f>
        <v>3.2467532467532464E-2</v>
      </c>
    </row>
    <row r="132" spans="1:8" s="5" customFormat="1" ht="24.95" customHeight="1" x14ac:dyDescent="0.25">
      <c r="A132" s="6" t="s">
        <v>88</v>
      </c>
      <c r="B132" s="6">
        <v>3429</v>
      </c>
      <c r="C132" s="6"/>
      <c r="D132" s="7"/>
      <c r="E132" s="6">
        <v>1550</v>
      </c>
      <c r="F132" s="7">
        <f>SUM(E132/B132)</f>
        <v>0.45202682997958588</v>
      </c>
      <c r="G132" s="6">
        <v>162</v>
      </c>
      <c r="H132" s="7">
        <f>SUM(G132/E132)</f>
        <v>0.10451612903225807</v>
      </c>
    </row>
    <row r="133" spans="1:8" s="5" customFormat="1" ht="24.95" customHeight="1" x14ac:dyDescent="0.25">
      <c r="A133" s="6" t="s">
        <v>137</v>
      </c>
      <c r="B133" s="6">
        <v>519</v>
      </c>
      <c r="C133" s="6">
        <v>77</v>
      </c>
      <c r="D133" s="7">
        <f>SUM(C133/B133)</f>
        <v>0.14836223506743737</v>
      </c>
      <c r="E133" s="6">
        <v>266</v>
      </c>
      <c r="F133" s="7">
        <f>SUM(E133/B133)</f>
        <v>0.51252408477842004</v>
      </c>
      <c r="G133" s="6">
        <v>36</v>
      </c>
      <c r="H133" s="7">
        <f>SUM(G133/E133)</f>
        <v>0.13533834586466165</v>
      </c>
    </row>
    <row r="134" spans="1:8" s="5" customFormat="1" ht="24.95" customHeight="1" x14ac:dyDescent="0.25">
      <c r="A134" s="6" t="s">
        <v>138</v>
      </c>
      <c r="B134" s="6">
        <v>477</v>
      </c>
      <c r="C134" s="6"/>
      <c r="D134" s="7"/>
      <c r="E134" s="6">
        <v>244</v>
      </c>
      <c r="F134" s="7">
        <f>SUM(E134/B134)</f>
        <v>0.51153039832285119</v>
      </c>
      <c r="G134" s="6">
        <v>49</v>
      </c>
      <c r="H134" s="7">
        <f>SUM(G134/E134)</f>
        <v>0.20081967213114754</v>
      </c>
    </row>
    <row r="135" spans="1:8" s="5" customFormat="1" ht="24.95" customHeight="1" x14ac:dyDescent="0.25">
      <c r="A135" s="6" t="s">
        <v>151</v>
      </c>
      <c r="B135" s="6">
        <v>2697</v>
      </c>
      <c r="C135" s="6"/>
      <c r="D135" s="7"/>
      <c r="E135" s="6">
        <v>1588</v>
      </c>
      <c r="F135" s="7">
        <f>SUM(E135/B135)</f>
        <v>0.58880237300704485</v>
      </c>
      <c r="G135" s="6">
        <v>156</v>
      </c>
      <c r="H135" s="7">
        <f>SUM(G135/E135)</f>
        <v>9.8236775818639793E-2</v>
      </c>
    </row>
    <row r="136" spans="1:8" s="5" customFormat="1" ht="24.95" customHeight="1" x14ac:dyDescent="0.25">
      <c r="A136" s="6" t="s">
        <v>66</v>
      </c>
      <c r="B136" s="6">
        <v>876</v>
      </c>
      <c r="C136" s="6">
        <v>106</v>
      </c>
      <c r="D136" s="7">
        <f>SUM(C136/B136)</f>
        <v>0.12100456621004566</v>
      </c>
      <c r="E136" s="6">
        <v>363</v>
      </c>
      <c r="F136" s="7">
        <f>SUM(E136/B136)</f>
        <v>0.41438356164383561</v>
      </c>
      <c r="G136" s="6">
        <v>43</v>
      </c>
      <c r="H136" s="7">
        <f>SUM(G136/E136)</f>
        <v>0.1184573002754821</v>
      </c>
    </row>
    <row r="137" spans="1:8" s="5" customFormat="1" ht="24.95" customHeight="1" x14ac:dyDescent="0.25">
      <c r="A137" s="6" t="s">
        <v>175</v>
      </c>
      <c r="B137" s="6">
        <v>852</v>
      </c>
      <c r="C137" s="6"/>
      <c r="D137" s="7">
        <f>SUM(C137/B137)</f>
        <v>0</v>
      </c>
      <c r="E137" s="6">
        <v>351</v>
      </c>
      <c r="F137" s="7">
        <f>SUM(E137/B137)</f>
        <v>0.4119718309859155</v>
      </c>
      <c r="G137" s="6">
        <v>22</v>
      </c>
      <c r="H137" s="7">
        <f>SUM(G137/E137)</f>
        <v>6.2678062678062682E-2</v>
      </c>
    </row>
    <row r="138" spans="1:8" s="5" customFormat="1" ht="24.95" customHeight="1" x14ac:dyDescent="0.25">
      <c r="A138" s="6" t="s">
        <v>177</v>
      </c>
      <c r="B138" s="6">
        <v>276</v>
      </c>
      <c r="C138" s="6">
        <v>35</v>
      </c>
      <c r="D138" s="7">
        <f>SUM(C138/B138)</f>
        <v>0.12681159420289856</v>
      </c>
      <c r="E138" s="6">
        <v>131</v>
      </c>
      <c r="F138" s="7">
        <f>SUM(E138/B138)</f>
        <v>0.47463768115942029</v>
      </c>
      <c r="G138" s="6">
        <v>9</v>
      </c>
      <c r="H138" s="7">
        <f>SUM(G138/E138)</f>
        <v>6.8702290076335881E-2</v>
      </c>
    </row>
    <row r="139" spans="1:8" s="5" customFormat="1" ht="24.95" customHeight="1" x14ac:dyDescent="0.25">
      <c r="A139" s="6" t="s">
        <v>130</v>
      </c>
      <c r="B139" s="6">
        <v>2466</v>
      </c>
      <c r="C139" s="6">
        <v>100</v>
      </c>
      <c r="D139" s="7">
        <f>SUM(C139/B139)</f>
        <v>4.0551500405515001E-2</v>
      </c>
      <c r="E139" s="6">
        <v>1122</v>
      </c>
      <c r="F139" s="7">
        <f>SUM(E139/B139)</f>
        <v>0.45498783454987834</v>
      </c>
      <c r="G139" s="6">
        <v>106</v>
      </c>
      <c r="H139" s="7">
        <f>SUM(G139/E139)</f>
        <v>9.4474153297682703E-2</v>
      </c>
    </row>
    <row r="140" spans="1:8" s="5" customFormat="1" ht="24.95" customHeight="1" x14ac:dyDescent="0.25">
      <c r="A140" s="6" t="s">
        <v>131</v>
      </c>
      <c r="B140" s="6">
        <v>1001</v>
      </c>
      <c r="C140" s="6"/>
      <c r="D140" s="7"/>
      <c r="E140" s="6">
        <v>484</v>
      </c>
      <c r="F140" s="7">
        <f>SUM(E140/B140)</f>
        <v>0.48351648351648352</v>
      </c>
      <c r="G140" s="6">
        <v>27</v>
      </c>
      <c r="H140" s="7">
        <f>SUM(G140/E140)</f>
        <v>5.578512396694215E-2</v>
      </c>
    </row>
    <row r="141" spans="1:8" s="5" customFormat="1" ht="24.95" customHeight="1" x14ac:dyDescent="0.25">
      <c r="A141" s="6" t="s">
        <v>152</v>
      </c>
      <c r="B141" s="6">
        <v>453</v>
      </c>
      <c r="C141" s="6">
        <v>61</v>
      </c>
      <c r="D141" s="7">
        <f>SUM(C141/B141)</f>
        <v>0.13465783664459161</v>
      </c>
      <c r="E141" s="6">
        <v>168</v>
      </c>
      <c r="F141" s="7">
        <f>SUM(E141/B141)</f>
        <v>0.37086092715231789</v>
      </c>
      <c r="G141" s="6">
        <v>10</v>
      </c>
      <c r="H141" s="7">
        <f>SUM(G141/E141)</f>
        <v>5.9523809523809521E-2</v>
      </c>
    </row>
    <row r="142" spans="1:8" s="5" customFormat="1" ht="24.95" customHeight="1" x14ac:dyDescent="0.25">
      <c r="A142" s="6" t="s">
        <v>132</v>
      </c>
      <c r="B142" s="6">
        <v>857</v>
      </c>
      <c r="C142" s="6"/>
      <c r="D142" s="7"/>
      <c r="E142" s="6">
        <v>430</v>
      </c>
      <c r="F142" s="7">
        <f>SUM(E142/B142)</f>
        <v>0.50175029171528585</v>
      </c>
      <c r="G142" s="6">
        <v>74</v>
      </c>
      <c r="H142" s="7">
        <f>SUM(G142/E142)</f>
        <v>0.17209302325581396</v>
      </c>
    </row>
    <row r="143" spans="1:8" s="5" customFormat="1" ht="24.95" customHeight="1" x14ac:dyDescent="0.25">
      <c r="A143" s="6" t="s">
        <v>33</v>
      </c>
      <c r="B143" s="6">
        <v>1362</v>
      </c>
      <c r="C143" s="6">
        <v>80</v>
      </c>
      <c r="D143" s="7">
        <f>SUM(C143/B143)</f>
        <v>5.8737151248164463E-2</v>
      </c>
      <c r="E143" s="6">
        <v>764</v>
      </c>
      <c r="F143" s="7">
        <f>SUM(E143/B143)</f>
        <v>0.56093979441997066</v>
      </c>
      <c r="G143" s="6">
        <v>106</v>
      </c>
      <c r="H143" s="7">
        <f>SUM(G143/E143)</f>
        <v>0.13874345549738221</v>
      </c>
    </row>
    <row r="144" spans="1:8" s="5" customFormat="1" ht="24.95" customHeight="1" x14ac:dyDescent="0.25">
      <c r="A144" s="6" t="s">
        <v>171</v>
      </c>
      <c r="B144" s="6">
        <v>1986</v>
      </c>
      <c r="C144" s="6"/>
      <c r="D144" s="7"/>
      <c r="E144" s="6">
        <v>766</v>
      </c>
      <c r="F144" s="7">
        <f>SUM(E144/B144)</f>
        <v>0.38569989929506548</v>
      </c>
      <c r="G144" s="6">
        <v>61</v>
      </c>
      <c r="H144" s="7">
        <f>SUM(G144/E144)</f>
        <v>7.963446475195822E-2</v>
      </c>
    </row>
    <row r="145" spans="1:8" s="5" customFormat="1" ht="24.95" customHeight="1" x14ac:dyDescent="0.25">
      <c r="A145" s="6" t="s">
        <v>90</v>
      </c>
      <c r="B145" s="6">
        <v>6587</v>
      </c>
      <c r="C145" s="6"/>
      <c r="D145" s="7"/>
      <c r="E145" s="6">
        <v>2527</v>
      </c>
      <c r="F145" s="7">
        <f>SUM(E145/B145)</f>
        <v>0.38363443145589798</v>
      </c>
      <c r="G145" s="6">
        <v>321</v>
      </c>
      <c r="H145" s="7">
        <f>SUM(G145/E145)</f>
        <v>0.12702809655718242</v>
      </c>
    </row>
    <row r="146" spans="1:8" s="5" customFormat="1" ht="24.95" customHeight="1" x14ac:dyDescent="0.25">
      <c r="A146" s="6" t="s">
        <v>153</v>
      </c>
      <c r="B146" s="6">
        <v>4013</v>
      </c>
      <c r="C146" s="6"/>
      <c r="D146" s="7"/>
      <c r="E146" s="6">
        <v>1852</v>
      </c>
      <c r="F146" s="7">
        <f>SUM(E146/B146)</f>
        <v>0.46150012459506601</v>
      </c>
      <c r="G146" s="6">
        <v>276</v>
      </c>
      <c r="H146" s="7">
        <f>SUM(G146/E146)</f>
        <v>0.14902807775377969</v>
      </c>
    </row>
    <row r="147" spans="1:8" s="5" customFormat="1" ht="24.95" customHeight="1" x14ac:dyDescent="0.25">
      <c r="A147" s="6" t="s">
        <v>73</v>
      </c>
      <c r="B147" s="6">
        <v>4454</v>
      </c>
      <c r="C147" s="6"/>
      <c r="D147" s="7"/>
      <c r="E147" s="6">
        <v>1500</v>
      </c>
      <c r="F147" s="7">
        <f>SUM(E147/B147)</f>
        <v>0.33677593174674447</v>
      </c>
      <c r="G147" s="6">
        <v>199</v>
      </c>
      <c r="H147" s="7">
        <f>SUM(G147/E147)</f>
        <v>0.13266666666666665</v>
      </c>
    </row>
    <row r="148" spans="1:8" s="5" customFormat="1" ht="24.95" customHeight="1" x14ac:dyDescent="0.25">
      <c r="A148" s="6" t="s">
        <v>195</v>
      </c>
      <c r="B148" s="6">
        <v>450</v>
      </c>
      <c r="C148" s="6">
        <v>35</v>
      </c>
      <c r="D148" s="7">
        <f>SUM(C148/B148)</f>
        <v>7.7777777777777779E-2</v>
      </c>
      <c r="E148" s="6"/>
      <c r="F148" s="7"/>
      <c r="G148" s="6"/>
      <c r="H148" s="7"/>
    </row>
    <row r="149" spans="1:8" s="5" customFormat="1" ht="24.95" customHeight="1" x14ac:dyDescent="0.25">
      <c r="A149" s="6" t="s">
        <v>133</v>
      </c>
      <c r="B149" s="6">
        <v>4841</v>
      </c>
      <c r="C149" s="6"/>
      <c r="D149" s="7"/>
      <c r="E149" s="6">
        <v>1934</v>
      </c>
      <c r="F149" s="7">
        <f>SUM(E149/B149)</f>
        <v>0.39950423466225987</v>
      </c>
      <c r="G149" s="6">
        <v>257</v>
      </c>
      <c r="H149" s="7">
        <f>SUM(G149/E149)</f>
        <v>0.13288521199586351</v>
      </c>
    </row>
    <row r="150" spans="1:8" s="5" customFormat="1" ht="24.95" customHeight="1" x14ac:dyDescent="0.25">
      <c r="A150" s="6" t="s">
        <v>161</v>
      </c>
      <c r="B150" s="6">
        <v>579</v>
      </c>
      <c r="C150" s="6">
        <v>45</v>
      </c>
      <c r="D150" s="7">
        <f>SUM(C150/B150)</f>
        <v>7.7720207253886009E-2</v>
      </c>
      <c r="E150" s="6">
        <v>281</v>
      </c>
      <c r="F150" s="7">
        <f>SUM(E150/B150)</f>
        <v>0.48531951640759929</v>
      </c>
      <c r="G150" s="6">
        <v>11</v>
      </c>
      <c r="H150" s="7">
        <f>SUM(G150/E150)</f>
        <v>3.9145907473309607E-2</v>
      </c>
    </row>
    <row r="151" spans="1:8" s="5" customFormat="1" ht="24.95" customHeight="1" x14ac:dyDescent="0.25">
      <c r="A151" s="6" t="s">
        <v>134</v>
      </c>
      <c r="B151" s="6">
        <v>128</v>
      </c>
      <c r="C151" s="6">
        <v>21</v>
      </c>
      <c r="D151" s="7">
        <f>SUM(C151/B151)</f>
        <v>0.1640625</v>
      </c>
      <c r="E151" s="6"/>
      <c r="F151" s="7"/>
      <c r="G151" s="6"/>
      <c r="H151" s="7"/>
    </row>
    <row r="152" spans="1:8" s="5" customFormat="1" ht="24.95" customHeight="1" x14ac:dyDescent="0.25">
      <c r="A152" s="6" t="s">
        <v>93</v>
      </c>
      <c r="B152" s="6">
        <v>1296</v>
      </c>
      <c r="C152" s="6">
        <v>180</v>
      </c>
      <c r="D152" s="7">
        <f>SUM(C152/B152)</f>
        <v>0.1388888888888889</v>
      </c>
      <c r="E152" s="6">
        <v>641</v>
      </c>
      <c r="F152" s="7">
        <f>SUM(E152/B152)</f>
        <v>0.49459876543209874</v>
      </c>
      <c r="G152" s="6">
        <v>71</v>
      </c>
      <c r="H152" s="7">
        <f>SUM(G152/E152)</f>
        <v>0.11076443057722309</v>
      </c>
    </row>
    <row r="153" spans="1:8" s="5" customFormat="1" ht="24.95" customHeight="1" x14ac:dyDescent="0.25">
      <c r="A153" s="6" t="s">
        <v>9</v>
      </c>
      <c r="B153" s="6">
        <v>504</v>
      </c>
      <c r="C153" s="6">
        <v>75</v>
      </c>
      <c r="D153" s="7">
        <f>SUM(C153/B153)</f>
        <v>0.14880952380952381</v>
      </c>
      <c r="E153" s="6"/>
      <c r="F153" s="7"/>
      <c r="G153" s="6"/>
      <c r="H153" s="7"/>
    </row>
    <row r="154" spans="1:8" s="5" customFormat="1" ht="24.95" customHeight="1" x14ac:dyDescent="0.25">
      <c r="A154" s="6" t="s">
        <v>191</v>
      </c>
      <c r="B154" s="6">
        <v>898</v>
      </c>
      <c r="C154" s="6">
        <v>165</v>
      </c>
      <c r="D154" s="7">
        <f>SUM(C154/B154)</f>
        <v>0.18374164810690424</v>
      </c>
      <c r="E154" s="6"/>
      <c r="F154" s="7"/>
      <c r="G154" s="6"/>
      <c r="H154" s="7"/>
    </row>
    <row r="155" spans="1:8" s="5" customFormat="1" ht="24.95" customHeight="1" x14ac:dyDescent="0.25">
      <c r="A155" s="6" t="s">
        <v>97</v>
      </c>
      <c r="B155" s="6">
        <v>173</v>
      </c>
      <c r="C155" s="6">
        <v>38</v>
      </c>
      <c r="D155" s="7">
        <f>SUM(C155/B155)</f>
        <v>0.21965317919075145</v>
      </c>
      <c r="E155" s="6"/>
      <c r="F155" s="7"/>
      <c r="G155" s="6"/>
      <c r="H155" s="7"/>
    </row>
    <row r="156" spans="1:8" s="5" customFormat="1" ht="24.95" customHeight="1" x14ac:dyDescent="0.25">
      <c r="A156" s="6" t="s">
        <v>193</v>
      </c>
      <c r="B156" s="6">
        <v>654</v>
      </c>
      <c r="C156" s="6">
        <v>55</v>
      </c>
      <c r="D156" s="7">
        <f>SUM(C156/B156)</f>
        <v>8.4097859327217125E-2</v>
      </c>
      <c r="E156" s="6">
        <v>282</v>
      </c>
      <c r="F156" s="7">
        <f>SUM(E156/B156)</f>
        <v>0.43119266055045874</v>
      </c>
      <c r="G156" s="6">
        <v>16</v>
      </c>
      <c r="H156" s="7">
        <f>SUM(G156/E156)</f>
        <v>5.6737588652482268E-2</v>
      </c>
    </row>
    <row r="157" spans="1:8" s="5" customFormat="1" ht="24.95" customHeight="1" x14ac:dyDescent="0.25">
      <c r="A157" s="6" t="s">
        <v>47</v>
      </c>
      <c r="B157" s="6">
        <v>2167</v>
      </c>
      <c r="C157" s="6">
        <v>175</v>
      </c>
      <c r="D157" s="7">
        <f>SUM(C157/B157)</f>
        <v>8.0756806645131518E-2</v>
      </c>
      <c r="E157" s="6"/>
      <c r="F157" s="7"/>
      <c r="G157" s="6"/>
      <c r="H157" s="7"/>
    </row>
    <row r="158" spans="1:8" s="5" customFormat="1" ht="24.95" customHeight="1" x14ac:dyDescent="0.25">
      <c r="A158" s="6" t="s">
        <v>24</v>
      </c>
      <c r="B158" s="6">
        <v>407</v>
      </c>
      <c r="C158" s="6">
        <v>100</v>
      </c>
      <c r="D158" s="7">
        <f>SUM(C158/B158)</f>
        <v>0.24570024570024571</v>
      </c>
      <c r="E158" s="6">
        <v>279</v>
      </c>
      <c r="F158" s="7">
        <f>SUM(E158/B158)</f>
        <v>0.68550368550368546</v>
      </c>
      <c r="G158" s="6">
        <v>39</v>
      </c>
      <c r="H158" s="7">
        <f>SUM(G158/E158)</f>
        <v>0.13978494623655913</v>
      </c>
    </row>
    <row r="159" spans="1:8" s="5" customFormat="1" ht="24.95" customHeight="1" x14ac:dyDescent="0.25">
      <c r="A159" s="6" t="s">
        <v>135</v>
      </c>
      <c r="B159" s="6">
        <v>790</v>
      </c>
      <c r="C159" s="6">
        <v>76</v>
      </c>
      <c r="D159" s="7">
        <f>SUM(C159/B159)</f>
        <v>9.6202531645569619E-2</v>
      </c>
      <c r="E159" s="6"/>
      <c r="F159" s="7"/>
      <c r="G159" s="6"/>
      <c r="H159" s="7"/>
    </row>
    <row r="160" spans="1:8" s="5" customFormat="1" ht="24.95" customHeight="1" x14ac:dyDescent="0.25">
      <c r="A160" s="6" t="s">
        <v>82</v>
      </c>
      <c r="B160" s="6">
        <v>951</v>
      </c>
      <c r="C160" s="6">
        <v>109</v>
      </c>
      <c r="D160" s="7">
        <f>SUM(C160/B160)</f>
        <v>0.11461619348054679</v>
      </c>
      <c r="E160" s="6"/>
      <c r="F160" s="7"/>
      <c r="G160" s="6"/>
      <c r="H160" s="7"/>
    </row>
    <row r="161" spans="1:8" s="5" customFormat="1" ht="24.95" customHeight="1" x14ac:dyDescent="0.25">
      <c r="A161" s="6" t="s">
        <v>91</v>
      </c>
      <c r="B161" s="6">
        <v>919</v>
      </c>
      <c r="C161" s="6"/>
      <c r="D161" s="7"/>
      <c r="E161" s="6"/>
      <c r="F161" s="7"/>
      <c r="G161" s="6"/>
      <c r="H161" s="7"/>
    </row>
    <row r="162" spans="1:8" s="5" customFormat="1" ht="24.95" customHeight="1" x14ac:dyDescent="0.25">
      <c r="A162" s="6" t="s">
        <v>77</v>
      </c>
      <c r="B162" s="6">
        <v>2403</v>
      </c>
      <c r="C162" s="6"/>
      <c r="D162" s="7"/>
      <c r="E162" s="6">
        <v>1276</v>
      </c>
      <c r="F162" s="7">
        <f>SUM(E162/B162)</f>
        <v>0.53100291302538494</v>
      </c>
      <c r="G162" s="6">
        <v>222</v>
      </c>
      <c r="H162" s="7">
        <f>SUM(G162/E162)</f>
        <v>0.17398119122257052</v>
      </c>
    </row>
    <row r="163" spans="1:8" s="5" customFormat="1" ht="24.95" customHeight="1" x14ac:dyDescent="0.25">
      <c r="A163" s="6" t="s">
        <v>163</v>
      </c>
      <c r="B163" s="6">
        <v>1738</v>
      </c>
      <c r="C163" s="6"/>
      <c r="D163" s="7"/>
      <c r="E163" s="6">
        <v>917</v>
      </c>
      <c r="F163" s="7">
        <f>SUM(E163/B163)</f>
        <v>0.52761795166858461</v>
      </c>
      <c r="G163" s="6">
        <v>282</v>
      </c>
      <c r="H163" s="7">
        <f>SUM(G163/E163)</f>
        <v>0.3075245365321701</v>
      </c>
    </row>
    <row r="164" spans="1:8" s="5" customFormat="1" ht="24.95" customHeight="1" x14ac:dyDescent="0.25">
      <c r="A164" s="6" t="s">
        <v>43</v>
      </c>
      <c r="B164" s="6">
        <v>1387</v>
      </c>
      <c r="C164" s="6">
        <v>168</v>
      </c>
      <c r="D164" s="7">
        <f>SUM(C164/B164)</f>
        <v>0.12112472963229992</v>
      </c>
      <c r="E164" s="6">
        <v>746</v>
      </c>
      <c r="F164" s="7">
        <f>SUM(E164/B164)</f>
        <v>0.5378514780100937</v>
      </c>
      <c r="G164" s="6">
        <v>47</v>
      </c>
      <c r="H164" s="7">
        <f>SUM(G164/E164)</f>
        <v>6.3002680965147453E-2</v>
      </c>
    </row>
    <row r="165" spans="1:8" s="5" customFormat="1" ht="24.95" customHeight="1" x14ac:dyDescent="0.25">
      <c r="A165" s="6" t="s">
        <v>27</v>
      </c>
      <c r="B165" s="6">
        <v>669</v>
      </c>
      <c r="C165" s="6"/>
      <c r="D165" s="7"/>
      <c r="E165" s="6">
        <v>335</v>
      </c>
      <c r="F165" s="7">
        <f>SUM(E165/B165)</f>
        <v>0.50074738415545594</v>
      </c>
      <c r="G165" s="6">
        <v>56</v>
      </c>
      <c r="H165" s="7">
        <f>SUM(G165/E165)</f>
        <v>0.16716417910447762</v>
      </c>
    </row>
    <row r="166" spans="1:8" s="5" customFormat="1" ht="24.95" customHeight="1" x14ac:dyDescent="0.25">
      <c r="A166" s="6" t="s">
        <v>64</v>
      </c>
      <c r="B166" s="6">
        <v>1456</v>
      </c>
      <c r="C166" s="6">
        <v>62</v>
      </c>
      <c r="D166" s="7">
        <f>SUM(C166/B166)</f>
        <v>4.2582417582417584E-2</v>
      </c>
      <c r="E166" s="6">
        <v>699</v>
      </c>
      <c r="F166" s="7">
        <f>SUM(E166/B166)</f>
        <v>0.4800824175824176</v>
      </c>
      <c r="G166" s="6">
        <v>86</v>
      </c>
      <c r="H166" s="7">
        <f>SUM(G166/E166)</f>
        <v>0.12303290414878398</v>
      </c>
    </row>
    <row r="167" spans="1:8" s="5" customFormat="1" ht="24.95" customHeight="1" x14ac:dyDescent="0.25">
      <c r="A167" s="6" t="s">
        <v>12</v>
      </c>
      <c r="B167" s="6">
        <v>502</v>
      </c>
      <c r="C167" s="6">
        <v>49</v>
      </c>
      <c r="D167" s="7">
        <f>SUM(C167/B167)</f>
        <v>9.7609561752988044E-2</v>
      </c>
      <c r="E167" s="6"/>
      <c r="F167" s="7"/>
      <c r="G167" s="6"/>
      <c r="H167" s="7"/>
    </row>
    <row r="168" spans="1:8" s="5" customFormat="1" ht="24.95" customHeight="1" x14ac:dyDescent="0.25">
      <c r="A168" s="6" t="s">
        <v>92</v>
      </c>
      <c r="B168" s="6">
        <v>1381</v>
      </c>
      <c r="C168" s="6">
        <v>140</v>
      </c>
      <c r="D168" s="7">
        <f>SUM(C168/B168)</f>
        <v>0.10137581462708183</v>
      </c>
      <c r="E168" s="6"/>
      <c r="F168" s="7"/>
      <c r="G168" s="6"/>
      <c r="H168" s="7"/>
    </row>
    <row r="169" spans="1:8" s="5" customFormat="1" ht="24.95" customHeight="1" x14ac:dyDescent="0.25">
      <c r="A169" s="6" t="s">
        <v>1</v>
      </c>
      <c r="B169" s="6">
        <v>752</v>
      </c>
      <c r="C169" s="6">
        <v>60</v>
      </c>
      <c r="D169" s="7">
        <f>SUM(C169/B169)</f>
        <v>7.9787234042553196E-2</v>
      </c>
      <c r="E169" s="6">
        <v>320</v>
      </c>
      <c r="F169" s="7">
        <f>SUM(E169/B169)</f>
        <v>0.42553191489361702</v>
      </c>
      <c r="G169" s="6">
        <v>32</v>
      </c>
      <c r="H169" s="7">
        <f>SUM(G169/E169)</f>
        <v>0.1</v>
      </c>
    </row>
    <row r="170" spans="1:8" s="5" customFormat="1" ht="24.95" customHeight="1" x14ac:dyDescent="0.25">
      <c r="A170" s="6" t="s">
        <v>119</v>
      </c>
      <c r="B170" s="6">
        <v>3812</v>
      </c>
      <c r="C170" s="6">
        <v>200</v>
      </c>
      <c r="D170" s="7">
        <f>SUM(C170/B170)</f>
        <v>5.2465897166841552E-2</v>
      </c>
      <c r="E170" s="6">
        <v>1804</v>
      </c>
      <c r="F170" s="7">
        <f>SUM(E170/B170)</f>
        <v>0.47324239244491079</v>
      </c>
      <c r="G170" s="6">
        <v>253</v>
      </c>
      <c r="H170" s="7">
        <f>SUM(G170/E170)</f>
        <v>0.1402439024390244</v>
      </c>
    </row>
    <row r="171" spans="1:8" s="5" customFormat="1" ht="24.95" customHeight="1" x14ac:dyDescent="0.25">
      <c r="A171" s="6" t="s">
        <v>30</v>
      </c>
      <c r="B171" s="6">
        <v>914</v>
      </c>
      <c r="C171" s="6"/>
      <c r="D171" s="7"/>
      <c r="E171" s="6">
        <v>399</v>
      </c>
      <c r="F171" s="7">
        <f>SUM(E171/B171)</f>
        <v>0.43654266958424509</v>
      </c>
      <c r="G171" s="6">
        <v>36</v>
      </c>
      <c r="H171" s="7">
        <f>SUM(G171/E171)</f>
        <v>9.0225563909774431E-2</v>
      </c>
    </row>
    <row r="172" spans="1:8" s="5" customFormat="1" ht="24.95" customHeight="1" x14ac:dyDescent="0.25">
      <c r="A172" s="6" t="s">
        <v>52</v>
      </c>
      <c r="B172" s="6">
        <v>545</v>
      </c>
      <c r="C172" s="6">
        <v>33</v>
      </c>
      <c r="D172" s="7">
        <f>SUM(C172/B172)</f>
        <v>6.0550458715596334E-2</v>
      </c>
      <c r="E172" s="6"/>
      <c r="F172" s="7"/>
      <c r="G172" s="6"/>
      <c r="H172" s="7"/>
    </row>
    <row r="173" spans="1:8" s="5" customFormat="1" ht="24.95" customHeight="1" x14ac:dyDescent="0.25">
      <c r="A173" s="6" t="s">
        <v>85</v>
      </c>
      <c r="B173" s="6">
        <v>470</v>
      </c>
      <c r="C173" s="6"/>
      <c r="D173" s="7"/>
      <c r="E173" s="6">
        <v>179</v>
      </c>
      <c r="F173" s="7">
        <f>SUM(E173/B173)</f>
        <v>0.38085106382978723</v>
      </c>
      <c r="G173" s="6">
        <v>12</v>
      </c>
      <c r="H173" s="7">
        <f>SUM(G173/E173)</f>
        <v>6.7039106145251395E-2</v>
      </c>
    </row>
    <row r="174" spans="1:8" s="5" customFormat="1" ht="24.95" customHeight="1" x14ac:dyDescent="0.25">
      <c r="A174" s="6" t="s">
        <v>186</v>
      </c>
      <c r="B174" s="6">
        <v>533</v>
      </c>
      <c r="C174" s="6"/>
      <c r="D174" s="7"/>
      <c r="E174" s="6">
        <v>338</v>
      </c>
      <c r="F174" s="7">
        <f>SUM(E174/B174)</f>
        <v>0.63414634146341464</v>
      </c>
      <c r="G174" s="6">
        <v>63</v>
      </c>
      <c r="H174" s="7">
        <f>SUM(G174/E174)</f>
        <v>0.18639053254437871</v>
      </c>
    </row>
    <row r="175" spans="1:8" s="5" customFormat="1" ht="24.95" customHeight="1" x14ac:dyDescent="0.25">
      <c r="A175" s="6" t="s">
        <v>166</v>
      </c>
      <c r="B175" s="6">
        <v>169</v>
      </c>
      <c r="C175" s="6">
        <v>21</v>
      </c>
      <c r="D175" s="7">
        <f>SUM(C175/B175)</f>
        <v>0.1242603550295858</v>
      </c>
      <c r="E175" s="6">
        <v>103</v>
      </c>
      <c r="F175" s="7">
        <f>SUM(E175/B175)</f>
        <v>0.60946745562130178</v>
      </c>
      <c r="G175" s="6">
        <v>3</v>
      </c>
      <c r="H175" s="7">
        <f>SUM(G175/E175)</f>
        <v>2.9126213592233011E-2</v>
      </c>
    </row>
    <row r="176" spans="1:8" s="5" customFormat="1" ht="24.95" customHeight="1" x14ac:dyDescent="0.25">
      <c r="A176" s="6" t="s">
        <v>154</v>
      </c>
      <c r="B176" s="6">
        <v>1529</v>
      </c>
      <c r="C176" s="6">
        <v>40</v>
      </c>
      <c r="D176" s="7">
        <f>SUM(C176/B176)</f>
        <v>2.6160889470241987E-2</v>
      </c>
      <c r="E176" s="6">
        <v>621</v>
      </c>
      <c r="F176" s="7">
        <f>SUM(E176/B176)</f>
        <v>0.40614780902550685</v>
      </c>
      <c r="G176" s="6">
        <v>44</v>
      </c>
      <c r="H176" s="7">
        <f>SUM(G176/E176)</f>
        <v>7.0853462157809979E-2</v>
      </c>
    </row>
    <row r="177" spans="1:8" s="5" customFormat="1" ht="24.95" customHeight="1" x14ac:dyDescent="0.25">
      <c r="A177" s="6" t="s">
        <v>4</v>
      </c>
      <c r="B177" s="6">
        <v>825</v>
      </c>
      <c r="C177" s="6">
        <v>198</v>
      </c>
      <c r="D177" s="7">
        <f>SUM(C177/B177)</f>
        <v>0.24</v>
      </c>
      <c r="E177" s="6"/>
      <c r="F177" s="7"/>
      <c r="G177" s="6"/>
      <c r="H177" s="7"/>
    </row>
    <row r="178" spans="1:8" s="5" customFormat="1" ht="24.95" customHeight="1" x14ac:dyDescent="0.25">
      <c r="A178" s="6" t="s">
        <v>99</v>
      </c>
      <c r="B178" s="6">
        <v>381</v>
      </c>
      <c r="C178" s="6">
        <v>56</v>
      </c>
      <c r="D178" s="7">
        <f>SUM(C178/B178)</f>
        <v>0.14698162729658792</v>
      </c>
      <c r="E178" s="6">
        <v>184</v>
      </c>
      <c r="F178" s="7">
        <f>SUM(E178/B178)</f>
        <v>0.48293963254593175</v>
      </c>
      <c r="G178" s="6">
        <v>24</v>
      </c>
      <c r="H178" s="7">
        <f>SUM(G178/E178)</f>
        <v>0.13043478260869565</v>
      </c>
    </row>
    <row r="179" spans="1:8" s="5" customFormat="1" ht="24.95" customHeight="1" x14ac:dyDescent="0.25">
      <c r="A179" s="6" t="s">
        <v>109</v>
      </c>
      <c r="B179" s="6">
        <v>1528</v>
      </c>
      <c r="C179" s="6">
        <v>95</v>
      </c>
      <c r="D179" s="7">
        <f>SUM(C179/B179)</f>
        <v>6.2172774869109951E-2</v>
      </c>
      <c r="E179" s="6">
        <v>826</v>
      </c>
      <c r="F179" s="7">
        <f>SUM(E179/B179)</f>
        <v>0.54057591623036649</v>
      </c>
      <c r="G179" s="6">
        <v>113</v>
      </c>
      <c r="H179" s="7">
        <f>SUM(G179/E179)</f>
        <v>0.1368038740920097</v>
      </c>
    </row>
    <row r="180" spans="1:8" s="5" customFormat="1" ht="24.95" customHeight="1" x14ac:dyDescent="0.25">
      <c r="A180" s="6" t="s">
        <v>3</v>
      </c>
      <c r="B180" s="6">
        <v>2311</v>
      </c>
      <c r="C180" s="6">
        <v>216</v>
      </c>
      <c r="D180" s="7">
        <f>SUM(C180/B180)</f>
        <v>9.3466032020770223E-2</v>
      </c>
      <c r="E180" s="6">
        <v>1197</v>
      </c>
      <c r="F180" s="7">
        <f>SUM(E180/B180)</f>
        <v>0.51795759411510167</v>
      </c>
      <c r="G180" s="6">
        <v>106</v>
      </c>
      <c r="H180" s="7">
        <f>SUM(G180/E180)</f>
        <v>8.8554720133667497E-2</v>
      </c>
    </row>
    <row r="181" spans="1:8" s="5" customFormat="1" ht="24.95" customHeight="1" x14ac:dyDescent="0.25">
      <c r="A181" s="6" t="s">
        <v>179</v>
      </c>
      <c r="B181" s="6">
        <v>279</v>
      </c>
      <c r="C181" s="6">
        <v>61</v>
      </c>
      <c r="D181" s="7">
        <f>SUM(C181/B181)</f>
        <v>0.21863799283154123</v>
      </c>
      <c r="E181" s="6"/>
      <c r="F181" s="7"/>
      <c r="G181" s="6"/>
      <c r="H181" s="7"/>
    </row>
    <row r="182" spans="1:8" s="5" customFormat="1" ht="24.95" customHeight="1" x14ac:dyDescent="0.25">
      <c r="A182" s="6" t="s">
        <v>187</v>
      </c>
      <c r="B182" s="6">
        <v>867</v>
      </c>
      <c r="C182" s="6">
        <v>100</v>
      </c>
      <c r="D182" s="7">
        <f>SUM(C182/B182)</f>
        <v>0.11534025374855825</v>
      </c>
      <c r="E182" s="6">
        <v>329</v>
      </c>
      <c r="F182" s="7">
        <f>SUM(E182/B182)</f>
        <v>0.37946943483275664</v>
      </c>
      <c r="G182" s="6">
        <v>21</v>
      </c>
      <c r="H182" s="7">
        <f>SUM(G182/E182)</f>
        <v>6.3829787234042548E-2</v>
      </c>
    </row>
    <row r="183" spans="1:8" s="5" customFormat="1" ht="24.95" customHeight="1" x14ac:dyDescent="0.25">
      <c r="A183" s="6" t="s">
        <v>84</v>
      </c>
      <c r="B183" s="6">
        <v>2002</v>
      </c>
      <c r="C183" s="6">
        <v>115</v>
      </c>
      <c r="D183" s="7">
        <f>SUM(C183/B183)</f>
        <v>5.744255744255744E-2</v>
      </c>
      <c r="E183" s="6">
        <v>862</v>
      </c>
      <c r="F183" s="7">
        <f>SUM(E183/B183)</f>
        <v>0.43056943056943059</v>
      </c>
      <c r="G183" s="6">
        <v>110</v>
      </c>
      <c r="H183" s="7">
        <f>SUM(G183/E183)</f>
        <v>0.12761020881670534</v>
      </c>
    </row>
    <row r="184" spans="1:8" s="5" customFormat="1" ht="24.95" customHeight="1" x14ac:dyDescent="0.25">
      <c r="A184" s="6" t="s">
        <v>18</v>
      </c>
      <c r="B184" s="6">
        <v>8420</v>
      </c>
      <c r="C184" s="6"/>
      <c r="D184" s="7"/>
      <c r="E184" s="6">
        <v>3434</v>
      </c>
      <c r="F184" s="7">
        <f>SUM(E184/B184)</f>
        <v>0.40783847980997623</v>
      </c>
      <c r="G184" s="6">
        <v>515</v>
      </c>
      <c r="H184" s="7">
        <f>SUM(G184/E184)</f>
        <v>0.14997087944088527</v>
      </c>
    </row>
    <row r="185" spans="1:8" s="5" customFormat="1" ht="24.95" customHeight="1" x14ac:dyDescent="0.25">
      <c r="A185" s="6" t="s">
        <v>136</v>
      </c>
      <c r="B185" s="6">
        <v>1475</v>
      </c>
      <c r="C185" s="6"/>
      <c r="D185" s="7"/>
      <c r="E185" s="6">
        <v>661</v>
      </c>
      <c r="F185" s="7">
        <f>SUM(E185/B185)</f>
        <v>0.44813559322033897</v>
      </c>
      <c r="G185" s="6">
        <v>76</v>
      </c>
      <c r="H185" s="7">
        <f>SUM(G185/E185)</f>
        <v>0.11497730711043873</v>
      </c>
    </row>
    <row r="186" spans="1:8" s="5" customFormat="1" ht="24.95" customHeight="1" x14ac:dyDescent="0.25">
      <c r="A186" s="6" t="s">
        <v>45</v>
      </c>
      <c r="B186" s="6">
        <v>311</v>
      </c>
      <c r="C186" s="6">
        <v>152</v>
      </c>
      <c r="D186" s="7">
        <f>SUM(C186/B186)</f>
        <v>0.4887459807073955</v>
      </c>
      <c r="E186" s="6">
        <v>102</v>
      </c>
      <c r="F186" s="7">
        <f>SUM(E186/B186)</f>
        <v>0.32797427652733119</v>
      </c>
      <c r="G186" s="6">
        <v>18</v>
      </c>
      <c r="H186" s="7">
        <f>SUM(G186/E186)</f>
        <v>0.17647058823529413</v>
      </c>
    </row>
    <row r="187" spans="1:8" s="5" customFormat="1" ht="24.95" customHeight="1" x14ac:dyDescent="0.25">
      <c r="A187" s="6" t="s">
        <v>62</v>
      </c>
      <c r="B187" s="6">
        <v>609</v>
      </c>
      <c r="C187" s="6">
        <v>100</v>
      </c>
      <c r="D187" s="7">
        <f>SUM(C187/B187)</f>
        <v>0.16420361247947454</v>
      </c>
      <c r="E187" s="6">
        <v>336</v>
      </c>
      <c r="F187" s="7">
        <f>SUM(E187/B187)</f>
        <v>0.55172413793103448</v>
      </c>
      <c r="G187" s="6">
        <v>37</v>
      </c>
      <c r="H187" s="7">
        <f>SUM(G187/E187)</f>
        <v>0.11011904761904762</v>
      </c>
    </row>
    <row r="188" spans="1:8" s="5" customFormat="1" ht="24.95" customHeight="1" x14ac:dyDescent="0.25">
      <c r="A188" s="6" t="s">
        <v>123</v>
      </c>
      <c r="B188" s="6">
        <v>4685</v>
      </c>
      <c r="C188" s="6"/>
      <c r="D188" s="7"/>
      <c r="E188" s="6">
        <v>1867</v>
      </c>
      <c r="F188" s="7">
        <f>SUM(E188/B188)</f>
        <v>0.39850586979722519</v>
      </c>
      <c r="G188" s="6">
        <v>157</v>
      </c>
      <c r="H188" s="7">
        <f>SUM(G188/E188)</f>
        <v>8.4092126405998932E-2</v>
      </c>
    </row>
    <row r="189" spans="1:8" s="5" customFormat="1" ht="24.95" customHeight="1" x14ac:dyDescent="0.25">
      <c r="A189" s="6" t="s">
        <v>158</v>
      </c>
      <c r="B189" s="6">
        <v>1036</v>
      </c>
      <c r="C189" s="6">
        <v>78</v>
      </c>
      <c r="D189" s="7">
        <f>SUM(C189/B189)</f>
        <v>7.5289575289575292E-2</v>
      </c>
      <c r="E189" s="6">
        <v>392</v>
      </c>
      <c r="F189" s="7">
        <f>SUM(E189/B189)</f>
        <v>0.3783783783783784</v>
      </c>
      <c r="G189" s="6">
        <v>45</v>
      </c>
      <c r="H189" s="7">
        <f>SUM(G189/E189)</f>
        <v>0.11479591836734694</v>
      </c>
    </row>
    <row r="190" spans="1:8" s="5" customFormat="1" ht="24.95" customHeight="1" x14ac:dyDescent="0.25">
      <c r="A190" s="6" t="s">
        <v>188</v>
      </c>
      <c r="B190" s="6">
        <v>667</v>
      </c>
      <c r="C190" s="6">
        <v>120</v>
      </c>
      <c r="D190" s="7">
        <f>SUM(C190/B190)</f>
        <v>0.17991004497751126</v>
      </c>
      <c r="E190" s="6"/>
      <c r="F190" s="7"/>
      <c r="G190" s="6"/>
      <c r="H190" s="7"/>
    </row>
    <row r="191" spans="1:8" s="5" customFormat="1" ht="24.95" customHeight="1" x14ac:dyDescent="0.25">
      <c r="A191" s="6" t="s">
        <v>184</v>
      </c>
      <c r="B191" s="6">
        <v>254</v>
      </c>
      <c r="C191" s="6"/>
      <c r="D191" s="7"/>
      <c r="E191" s="6">
        <v>118</v>
      </c>
      <c r="F191" s="7">
        <f>SUM(E191/B191)</f>
        <v>0.46456692913385828</v>
      </c>
      <c r="G191" s="6">
        <v>8</v>
      </c>
      <c r="H191" s="7">
        <f>SUM(G191/E191)</f>
        <v>6.7796610169491525E-2</v>
      </c>
    </row>
    <row r="192" spans="1:8" s="5" customFormat="1" ht="24.95" customHeight="1" thickBot="1" x14ac:dyDescent="0.3">
      <c r="A192" s="8" t="s">
        <v>189</v>
      </c>
      <c r="B192" s="8">
        <v>728</v>
      </c>
      <c r="C192" s="8"/>
      <c r="D192" s="9"/>
      <c r="E192" s="8">
        <v>411</v>
      </c>
      <c r="F192" s="9">
        <f>SUM(E192/B192)</f>
        <v>0.56456043956043955</v>
      </c>
      <c r="G192" s="8">
        <v>52</v>
      </c>
      <c r="H192" s="9">
        <f>SUM(G192/E192)</f>
        <v>0.12652068126520682</v>
      </c>
    </row>
    <row r="193" spans="1:8" ht="30" customHeight="1" thickTop="1" thickBot="1" x14ac:dyDescent="0.3">
      <c r="A193" s="10" t="s">
        <v>199</v>
      </c>
      <c r="B193" s="12">
        <v>132436</v>
      </c>
      <c r="C193" s="12">
        <f>SUM(C2:C192)</f>
        <v>12180</v>
      </c>
      <c r="D193" s="11">
        <f>SUM(C193/B193)</f>
        <v>9.1968951040502581E-2</v>
      </c>
      <c r="E193" s="12"/>
      <c r="F193" s="11"/>
      <c r="G193" s="12"/>
      <c r="H193" s="11"/>
    </row>
    <row r="194" spans="1:8" ht="30" customHeight="1" thickTop="1" thickBot="1" x14ac:dyDescent="0.3">
      <c r="A194" s="10" t="s">
        <v>200</v>
      </c>
      <c r="B194" s="12">
        <v>298528</v>
      </c>
      <c r="C194" s="12"/>
      <c r="D194" s="11"/>
      <c r="E194" s="12">
        <f>SUM(E3:E192)</f>
        <v>130550</v>
      </c>
      <c r="F194" s="11">
        <f>SUM(E194/B194)</f>
        <v>0.43731241290599204</v>
      </c>
      <c r="G194" s="12">
        <f>SUM(G3:G192)</f>
        <v>17250</v>
      </c>
      <c r="H194" s="11">
        <f>SUM(G194/E194)</f>
        <v>0.13213328226733054</v>
      </c>
    </row>
    <row r="195" spans="1:8" ht="16.5" thickTop="1" x14ac:dyDescent="0.25"/>
  </sheetData>
  <autoFilter ref="A1:H193"/>
  <phoneticPr fontId="0" type="noConversion"/>
  <pageMargins left="0.7" right="0.7" top="0.75" bottom="0.75" header="0.3" footer="0.3"/>
  <pageSetup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I214"/>
    </sheetView>
  </sheetViews>
  <sheetFormatPr defaultRowHeight="15" x14ac:dyDescent="0.25"/>
  <sheetData/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DE6UZ2SY5E43-1273115200-261</_dlc_DocId>
    <_dlc_DocIdUrl xmlns="3b005fd8-62d5-4927-a0f9-fdac9185221f">
      <Url>https://outside.vermont.gov/dept/sos/_layouts/15/DocIdRedir.aspx?ID=DE6UZ2SY5E43-1273115200-261</Url>
      <Description>DE6UZ2SY5E43-1273115200-261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6A24104-33F8-40AF-9329-C507B2B0DABA}"/>
</file>

<file path=customXml/itemProps2.xml><?xml version="1.0" encoding="utf-8"?>
<ds:datastoreItem xmlns:ds="http://schemas.openxmlformats.org/officeDocument/2006/customXml" ds:itemID="{4CC6C18A-F951-4170-AED2-BD8058B9FBEE}"/>
</file>

<file path=customXml/itemProps3.xml><?xml version="1.0" encoding="utf-8"?>
<ds:datastoreItem xmlns:ds="http://schemas.openxmlformats.org/officeDocument/2006/customXml" ds:itemID="{A1D35F56-DEC1-4C22-A31A-80DB69DC443A}"/>
</file>

<file path=customXml/itemProps4.xml><?xml version="1.0" encoding="utf-8"?>
<ds:datastoreItem xmlns:ds="http://schemas.openxmlformats.org/officeDocument/2006/customXml" ds:itemID="{BAC87608-14AF-48C4-B2CE-C917D5E69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Bjornlund, Lori</cp:lastModifiedBy>
  <dcterms:created xsi:type="dcterms:W3CDTF">2014-09-05T19:01:34Z</dcterms:created>
  <dcterms:modified xsi:type="dcterms:W3CDTF">2017-03-03T16:33:20Z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e388eb24-5dfa-4dea-ba23-778bfbcbf708</vt:lpwstr>
  </property>
</Properties>
</file>