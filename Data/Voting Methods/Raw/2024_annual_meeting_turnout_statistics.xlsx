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ites\business-division-elections\documentLibrary\TC, Treas. CC. Guides and labels\Clerks\2024 Info\"/>
    </mc:Choice>
  </mc:AlternateContent>
  <xr:revisionPtr revIDLastSave="0" documentId="13_ncr:1_{5B88A52F-76A8-4A9B-B9CE-A194464A2639}" xr6:coauthVersionLast="47" xr6:coauthVersionMax="47" xr10:uidLastSave="{00000000-0000-0000-0000-000000000000}"/>
  <bookViews>
    <workbookView xWindow="-120" yWindow="-120" windowWidth="29040" windowHeight="15840" xr2:uid="{22A974B5-CD60-44D6-9A15-9187755FA260}"/>
  </bookViews>
  <sheets>
    <sheet name="Sheet1" sheetId="1" r:id="rId1"/>
  </sheets>
  <definedNames>
    <definedName name="_xlnm._FilterDatabase" localSheetId="0" hidden="1">Sheet1!$A$2:$G$249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9" i="1" l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<sst xmlns="http://schemas.openxmlformats.org/spreadsheetml/2006/main" count="264" uniqueCount="256">
  <si>
    <t>Town or City</t>
  </si>
  <si>
    <t>How many voters were on your TM checklist on the date of your Town Meeting?</t>
  </si>
  <si>
    <t>How many people voted (include absentee ballot)?</t>
  </si>
  <si>
    <t>Turnout (%)</t>
  </si>
  <si>
    <t>How many voted by absentee ballot?</t>
  </si>
  <si>
    <t xml:space="preserve">Absentee Ballot Turnout (%) </t>
  </si>
  <si>
    <t xml:space="preserve">Was a ballot mailed to every active registered voter? (Y/N) </t>
  </si>
  <si>
    <t>Addison</t>
  </si>
  <si>
    <t>Albany</t>
  </si>
  <si>
    <t>Alburgh</t>
  </si>
  <si>
    <t>Andover</t>
  </si>
  <si>
    <t>Arlington</t>
  </si>
  <si>
    <t>Athens</t>
  </si>
  <si>
    <t>Bakersfield</t>
  </si>
  <si>
    <t>Baltimore</t>
  </si>
  <si>
    <t>Barnard</t>
  </si>
  <si>
    <t>Barnet</t>
  </si>
  <si>
    <t>Barre City</t>
  </si>
  <si>
    <t>Barre Town</t>
  </si>
  <si>
    <t>Barton</t>
  </si>
  <si>
    <t>Belvidere</t>
  </si>
  <si>
    <t>Bennington</t>
  </si>
  <si>
    <t>Benson</t>
  </si>
  <si>
    <t>Berkshire</t>
  </si>
  <si>
    <t>Berlin</t>
  </si>
  <si>
    <t>Bethel</t>
  </si>
  <si>
    <t>Bloomfield</t>
  </si>
  <si>
    <t>Bolton</t>
  </si>
  <si>
    <t>Bradford</t>
  </si>
  <si>
    <t>Braintree</t>
  </si>
  <si>
    <t>Brandon</t>
  </si>
  <si>
    <t>Yes</t>
  </si>
  <si>
    <t>Brattleboro</t>
  </si>
  <si>
    <t>Bridgewater</t>
  </si>
  <si>
    <t>Bridport</t>
  </si>
  <si>
    <t>Brighton</t>
  </si>
  <si>
    <t>Bristol</t>
  </si>
  <si>
    <t>Brookfield</t>
  </si>
  <si>
    <t>Brookline</t>
  </si>
  <si>
    <t>Brownington</t>
  </si>
  <si>
    <t>Brunswick</t>
  </si>
  <si>
    <t>Burke</t>
  </si>
  <si>
    <t>Burlington</t>
  </si>
  <si>
    <t>Cabot</t>
  </si>
  <si>
    <t>Calais</t>
  </si>
  <si>
    <t>Cambridge</t>
  </si>
  <si>
    <t>Canaan</t>
  </si>
  <si>
    <t>Castleton</t>
  </si>
  <si>
    <t>Cavendish</t>
  </si>
  <si>
    <t>Charleston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</si>
  <si>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</si>
  <si>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</si>
  <si>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</si>
  <si>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</si>
  <si>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</si>
  <si>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</si>
  <si>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</si>
  <si>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</si>
  <si>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</si>
  <si>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Coventry</t>
  </si>
  <si>
    <t>Craftsbury</t>
  </si>
  <si>
    <t>Danby</t>
  </si>
  <si>
    <t>Danville</t>
  </si>
  <si>
    <t>Derby</t>
  </si>
  <si>
    <t>Dorset</t>
  </si>
  <si>
    <t>Dover</t>
  </si>
  <si>
    <t>Dummerston</t>
  </si>
  <si>
    <t>Duxbury</t>
  </si>
  <si>
    <t>East Haven</t>
  </si>
  <si>
    <t>East Montpelier</t>
  </si>
  <si>
    <t>Eden</t>
  </si>
  <si>
    <t>Elmore</t>
  </si>
  <si>
    <t>Enosburgh</t>
  </si>
  <si>
    <t>Essex Junction City</t>
  </si>
  <si>
    <t>Essex Town</t>
  </si>
  <si>
    <t>Fair Haven</t>
  </si>
  <si>
    <t>Fairfax</t>
  </si>
  <si>
    <t>Fairfield</t>
  </si>
  <si>
    <t>Fairlee</t>
  </si>
  <si>
    <t>Fayston</t>
  </si>
  <si>
    <t>Ferrisburgh</t>
  </si>
  <si>
    <t>Fletcher</t>
  </si>
  <si>
    <t>Franklin</t>
  </si>
  <si>
    <t>Georgia</t>
  </si>
  <si>
    <t>Glover</t>
  </si>
  <si>
    <t>Goshen</t>
  </si>
  <si>
    <t>Grafton</t>
  </si>
  <si>
    <t>Granby</t>
  </si>
  <si>
    <t>Grand Isle</t>
  </si>
  <si>
    <t>Granville</t>
  </si>
  <si>
    <t>Greensboro</t>
  </si>
  <si>
    <t>Groton</t>
  </si>
  <si>
    <t>Guildhall</t>
  </si>
  <si>
    <t>Guilford</t>
  </si>
  <si>
    <t>Halifax</t>
  </si>
  <si>
    <t>Hancock</t>
  </si>
  <si>
    <t>Hardwick</t>
  </si>
  <si>
    <t>Hartford</t>
  </si>
  <si>
    <t>Hartland</t>
  </si>
  <si>
    <t>Highgate</t>
  </si>
  <si>
    <t>Hinesburg</t>
  </si>
  <si>
    <t>Holland</t>
  </si>
  <si>
    <t>Hubbardton</t>
  </si>
  <si>
    <t>Huntington</t>
  </si>
  <si>
    <t>Hyde Park</t>
  </si>
  <si>
    <t xml:space="preserve">Ira </t>
  </si>
  <si>
    <t>Irasburg</t>
  </si>
  <si>
    <t>Isle La Motte</t>
  </si>
  <si>
    <t>Jamaica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</si>
  <si>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</si>
  <si>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</si>
  <si>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</si>
  <si>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</si>
  <si>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</si>
  <si>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</si>
  <si>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</si>
  <si>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</si>
  <si>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Lincoln</t>
  </si>
  <si>
    <t>Londonderry</t>
  </si>
  <si>
    <t>Lowell</t>
  </si>
  <si>
    <t>Ludlow</t>
  </si>
  <si>
    <t>Lunenburg</t>
  </si>
  <si>
    <t>Lyndon</t>
  </si>
  <si>
    <t>Maidstone</t>
  </si>
  <si>
    <t>Manchester</t>
  </si>
  <si>
    <t>Marlboro</t>
  </si>
  <si>
    <t>Marshfield</t>
  </si>
  <si>
    <t>Mendon</t>
  </si>
  <si>
    <t>Middlebury</t>
  </si>
  <si>
    <t>Middlesex</t>
  </si>
  <si>
    <t>Middletown Springs</t>
  </si>
  <si>
    <t>Milton</t>
  </si>
  <si>
    <t>Monkton</t>
  </si>
  <si>
    <t>Montgomery</t>
  </si>
  <si>
    <t>Montpelier</t>
  </si>
  <si>
    <t>Moretown</t>
  </si>
  <si>
    <t>Morgan</t>
  </si>
  <si>
    <t>Morristown</t>
  </si>
  <si>
    <t>Mount Holly</t>
  </si>
  <si>
    <t>Mount Tabor</t>
  </si>
  <si>
    <t>New Haven</t>
  </si>
  <si>
    <t>Newark</t>
  </si>
  <si>
    <t>Newbury</t>
  </si>
  <si>
    <t>Newfane</t>
  </si>
  <si>
    <t>Newport City</t>
  </si>
  <si>
    <t>Newport Town</t>
  </si>
  <si>
    <t>North Hero</t>
  </si>
  <si>
    <t>Northfield</t>
  </si>
  <si>
    <t>Norton</t>
  </si>
  <si>
    <t>Norwich</t>
  </si>
  <si>
    <t>Orange</t>
  </si>
  <si>
    <t>Orwell</t>
  </si>
  <si>
    <t>Panton</t>
  </si>
  <si>
    <t>Pawlet</t>
  </si>
  <si>
    <t>Peacham</t>
  </si>
  <si>
    <t>Peru</t>
  </si>
  <si>
    <t>Pittsfield</t>
  </si>
  <si>
    <t>Pittsford</t>
  </si>
  <si>
    <t>Plainfield</t>
  </si>
  <si>
    <t>Plymouth</t>
  </si>
  <si>
    <t>Pomfret</t>
  </si>
  <si>
    <t>Poultney</t>
  </si>
  <si>
    <t>Pownal</t>
  </si>
  <si>
    <t>Proctor</t>
  </si>
  <si>
    <t>Putney</t>
  </si>
  <si>
    <t>Randolph</t>
  </si>
  <si>
    <t>Reading</t>
  </si>
  <si>
    <t>Readsboro</t>
  </si>
  <si>
    <t>Richford</t>
  </si>
  <si>
    <t>Richmond</t>
  </si>
  <si>
    <t>Ripton</t>
  </si>
  <si>
    <t>Rochester</t>
  </si>
  <si>
    <t>Rockingham</t>
  </si>
  <si>
    <t>Roxbury</t>
  </si>
  <si>
    <t>Royalton</t>
  </si>
  <si>
    <t>Rupert</t>
  </si>
  <si>
    <t>Rutland City</t>
  </si>
  <si>
    <t>Rutland Town</t>
  </si>
  <si>
    <t>Ryegate</t>
  </si>
  <si>
    <t>Saint Albans City</t>
  </si>
  <si>
    <t>Saint Albans Town</t>
  </si>
  <si>
    <t>Saint George</t>
  </si>
  <si>
    <t>Saint Johnsbury</t>
  </si>
  <si>
    <t>Salisbury</t>
  </si>
  <si>
    <t>Sandgate</t>
  </si>
  <si>
    <t>Searsburg</t>
  </si>
  <si>
    <t>Shaftsbury</t>
  </si>
  <si>
    <t>Sharon</t>
  </si>
  <si>
    <t>Sheffield</t>
  </si>
  <si>
    <t>Shelburne</t>
  </si>
  <si>
    <t>Sheldon</t>
  </si>
  <si>
    <t>Shoreham</t>
  </si>
  <si>
    <t>Shrewsbury</t>
  </si>
  <si>
    <t>South Burlington</t>
  </si>
  <si>
    <t>South Hero</t>
  </si>
  <si>
    <t>Springfield</t>
  </si>
  <si>
    <t>Stamford</t>
  </si>
  <si>
    <t>Stannard</t>
  </si>
  <si>
    <t>Starksboro</t>
  </si>
  <si>
    <t>Stockbridge</t>
  </si>
  <si>
    <t>Stowe</t>
  </si>
  <si>
    <t>Strafford</t>
  </si>
  <si>
    <t>Stratton</t>
  </si>
  <si>
    <t>Sudbury</t>
  </si>
  <si>
    <t>Sunderland</t>
  </si>
  <si>
    <t>Sutton</t>
  </si>
  <si>
    <t>Swanton</t>
  </si>
  <si>
    <t>Thetford</t>
  </si>
  <si>
    <t>Tinmouth</t>
  </si>
  <si>
    <t>Topsham</t>
  </si>
  <si>
    <t>Townshend</t>
  </si>
  <si>
    <t>Troy</t>
  </si>
  <si>
    <t>Tunbridge</t>
  </si>
  <si>
    <t>Underihill</t>
  </si>
  <si>
    <t>Vergennes</t>
  </si>
  <si>
    <t>Vernon</t>
  </si>
  <si>
    <t>Vershire</t>
  </si>
  <si>
    <t>Victory</t>
  </si>
  <si>
    <t>Waitsfield</t>
  </si>
  <si>
    <t>Walden</t>
  </si>
  <si>
    <t>Wallingford</t>
  </si>
  <si>
    <t>Waltham</t>
  </si>
  <si>
    <t>Wardsboro</t>
  </si>
  <si>
    <t>Warren</t>
  </si>
  <si>
    <t>Washington</t>
  </si>
  <si>
    <t>Waterbury</t>
  </si>
  <si>
    <t>Waterford</t>
  </si>
  <si>
    <t>Waterville</t>
  </si>
  <si>
    <t>Weathersfield</t>
  </si>
  <si>
    <t>Wells</t>
  </si>
  <si>
    <t>West Fairlee</t>
  </si>
  <si>
    <t>West Haven</t>
  </si>
  <si>
    <t>West Rutland</t>
  </si>
  <si>
    <t>West Windsor</t>
  </si>
  <si>
    <t>Westfield</t>
  </si>
  <si>
    <t>Westford</t>
  </si>
  <si>
    <t>Westminster</t>
  </si>
  <si>
    <t>Westmore</t>
  </si>
  <si>
    <t>Weston</t>
  </si>
  <si>
    <t>Weybridge</t>
  </si>
  <si>
    <t>Wheelock</t>
  </si>
  <si>
    <t>Whiting</t>
  </si>
  <si>
    <t>Whitingham</t>
  </si>
  <si>
    <t>Williamstown</t>
  </si>
  <si>
    <t>Williston</t>
  </si>
  <si>
    <t>Wilmington</t>
  </si>
  <si>
    <t>Windham</t>
  </si>
  <si>
    <t>Windsor</t>
  </si>
  <si>
    <t>Winhall</t>
  </si>
  <si>
    <t>Winooski</t>
  </si>
  <si>
    <t>Wolcott</t>
  </si>
  <si>
    <t>Woodbury</t>
  </si>
  <si>
    <t>Woodford</t>
  </si>
  <si>
    <t>Woodstock</t>
  </si>
  <si>
    <t>Worcester</t>
  </si>
  <si>
    <t xml:space="preserve">2024 ANNUAL MEETING VOTER TURNOUT STATISTICS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</si>
</sst>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indexed="8"/>
      <name val="Times New Roman"/>
      <family val="1"/>
    </font>
    <font>
      <i/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0" applyNumberFormat="1" applyFill="1" applyAlignment="1">
      <alignment horizontal="center"/>
    </xf>
    <xf numFmtId="0" fontId="4" fillId="0" borderId="4" xfId="0" applyFont="1" applyBorder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10" fontId="0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BD6C-0504-45C3-8075-1BC60D45690B}">
  <dimension ref="A1:H249"/>
  <sheetViews>
    <sheetView tabSelected="1" workbookViewId="0">
      <selection activeCell="H174" sqref="H174"/>
    </sheetView>
  </sheetViews>
  <sheetFormatPr defaultRowHeight="15" x14ac:dyDescent="0.25"/>
  <cols>
    <col min="1" max="1" width="18.28515625" customWidth="1"/>
    <col min="2" max="2" width="27.7109375" customWidth="1"/>
    <col min="3" max="3" width="18.140625" customWidth="1"/>
    <col min="4" max="6" width="18.28515625" customWidth="1"/>
    <col min="7" max="7" width="27.42578125" customWidth="1"/>
  </cols>
  <sheetData>
    <row r="1" spans="1:7" ht="22.5" x14ac:dyDescent="0.25">
      <c r="A1" s="7" t="s">
        <v>255</v>
      </c>
      <c r="B1" s="7"/>
      <c r="C1" s="7"/>
      <c r="D1" s="7"/>
      <c r="E1" s="7"/>
      <c r="F1" s="7"/>
      <c r="G1" s="8"/>
    </row>
    <row r="2" spans="1:7" ht="93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7</v>
      </c>
      <c r="B3" s="2">
        <v>1152</v>
      </c>
      <c r="C3" s="2">
        <v>458</v>
      </c>
      <c r="D3" s="3">
        <f>C3/B3</f>
        <v>0.39756944444444442</v>
      </c>
      <c r="E3" s="2">
        <v>61</v>
      </c>
      <c r="F3" s="3">
        <f>E3/C3</f>
        <v>0.1331877729257642</v>
      </c>
      <c r="G3" s="2"/>
    </row>
    <row r="4" spans="1:7" x14ac:dyDescent="0.25">
      <c r="A4" t="s">
        <v>8</v>
      </c>
      <c r="B4" s="2">
        <v>687</v>
      </c>
      <c r="C4" s="2">
        <v>95</v>
      </c>
      <c r="D4" s="3">
        <f t="shared" ref="D4:D67" si="0">C4/B4</f>
        <v>0.13828238719068414</v>
      </c>
      <c r="E4" s="2">
        <v>0</v>
      </c>
      <c r="F4" s="3">
        <f t="shared" ref="F4:F67" si="1">E4/C4</f>
        <v>0</v>
      </c>
      <c r="G4" s="2"/>
    </row>
    <row r="5" spans="1:7" x14ac:dyDescent="0.25">
      <c r="A5" t="s">
        <v>9</v>
      </c>
      <c r="B5" s="2">
        <v>1510</v>
      </c>
      <c r="C5" s="2">
        <v>575</v>
      </c>
      <c r="D5" s="3">
        <f t="shared" si="0"/>
        <v>0.38079470198675497</v>
      </c>
      <c r="E5" s="2">
        <v>67</v>
      </c>
      <c r="F5" s="3">
        <f t="shared" si="1"/>
        <v>0.11652173913043479</v>
      </c>
      <c r="G5" s="2"/>
    </row>
    <row r="6" spans="1:7" x14ac:dyDescent="0.25">
      <c r="A6" t="s">
        <v>10</v>
      </c>
      <c r="B6" s="2">
        <v>401</v>
      </c>
      <c r="C6" s="2">
        <v>71</v>
      </c>
      <c r="D6" s="3">
        <f t="shared" si="0"/>
        <v>0.17705735660847879</v>
      </c>
      <c r="E6" s="2">
        <v>0</v>
      </c>
      <c r="F6" s="3">
        <f t="shared" si="1"/>
        <v>0</v>
      </c>
      <c r="G6" s="2"/>
    </row>
    <row r="7" spans="1:7" x14ac:dyDescent="0.25">
      <c r="A7" t="s">
        <v>11</v>
      </c>
      <c r="B7" s="2">
        <v>1999</v>
      </c>
      <c r="C7" s="2">
        <v>650</v>
      </c>
      <c r="D7" s="3">
        <f t="shared" si="0"/>
        <v>0.32516258129064535</v>
      </c>
      <c r="E7" s="2">
        <v>83</v>
      </c>
      <c r="F7" s="3">
        <f t="shared" si="1"/>
        <v>0.12769230769230769</v>
      </c>
      <c r="G7" s="2"/>
    </row>
    <row r="8" spans="1:7" x14ac:dyDescent="0.25">
      <c r="A8" t="s">
        <v>12</v>
      </c>
      <c r="B8" s="2">
        <v>307</v>
      </c>
      <c r="C8" s="2">
        <v>123</v>
      </c>
      <c r="D8" s="3">
        <f t="shared" si="0"/>
        <v>0.40065146579804561</v>
      </c>
      <c r="E8" s="2">
        <v>24</v>
      </c>
      <c r="F8" s="3">
        <f t="shared" si="1"/>
        <v>0.1951219512195122</v>
      </c>
      <c r="G8" s="2"/>
    </row>
    <row r="9" spans="1:7" x14ac:dyDescent="0.25">
      <c r="A9" t="s">
        <v>13</v>
      </c>
      <c r="B9" s="2">
        <v>1000</v>
      </c>
      <c r="C9" s="2">
        <v>263</v>
      </c>
      <c r="D9" s="3">
        <f t="shared" si="0"/>
        <v>0.26300000000000001</v>
      </c>
      <c r="E9" s="2">
        <v>27</v>
      </c>
      <c r="F9" s="3">
        <f t="shared" si="1"/>
        <v>0.10266159695817491</v>
      </c>
      <c r="G9" s="2"/>
    </row>
    <row r="10" spans="1:7" x14ac:dyDescent="0.25">
      <c r="A10" t="s">
        <v>14</v>
      </c>
      <c r="B10" s="2">
        <v>191</v>
      </c>
      <c r="C10" s="2">
        <v>28</v>
      </c>
      <c r="D10" s="3">
        <f t="shared" si="0"/>
        <v>0.14659685863874344</v>
      </c>
      <c r="E10" s="2">
        <v>0</v>
      </c>
      <c r="F10" s="3">
        <f t="shared" si="1"/>
        <v>0</v>
      </c>
      <c r="G10" s="2"/>
    </row>
    <row r="11" spans="1:7" x14ac:dyDescent="0.25">
      <c r="A11" t="s">
        <v>15</v>
      </c>
      <c r="B11" s="2">
        <v>690</v>
      </c>
      <c r="C11" s="2">
        <v>55</v>
      </c>
      <c r="D11" s="3">
        <f t="shared" si="0"/>
        <v>7.9710144927536225E-2</v>
      </c>
      <c r="E11" s="2">
        <v>0</v>
      </c>
      <c r="F11" s="3">
        <f t="shared" si="1"/>
        <v>0</v>
      </c>
      <c r="G11" s="2"/>
    </row>
    <row r="12" spans="1:7" s="9" customFormat="1" x14ac:dyDescent="0.25">
      <c r="A12" s="9" t="s">
        <v>16</v>
      </c>
      <c r="B12" s="10">
        <v>1428</v>
      </c>
      <c r="C12" s="10">
        <v>126</v>
      </c>
      <c r="D12" s="11">
        <f t="shared" si="0"/>
        <v>8.8235294117647065E-2</v>
      </c>
      <c r="E12" s="10">
        <v>0</v>
      </c>
      <c r="F12" s="11">
        <f t="shared" si="1"/>
        <v>0</v>
      </c>
      <c r="G12" s="10"/>
    </row>
    <row r="13" spans="1:7" x14ac:dyDescent="0.25">
      <c r="A13" t="s">
        <v>17</v>
      </c>
      <c r="B13" s="2">
        <v>6135</v>
      </c>
      <c r="C13" s="2">
        <v>1527</v>
      </c>
      <c r="D13" s="3">
        <f t="shared" si="0"/>
        <v>0.24889975550122248</v>
      </c>
      <c r="E13" s="2">
        <v>552</v>
      </c>
      <c r="F13" s="3">
        <f t="shared" si="1"/>
        <v>0.36149312377210219</v>
      </c>
      <c r="G13" s="2"/>
    </row>
    <row r="14" spans="1:7" x14ac:dyDescent="0.25">
      <c r="A14" t="s">
        <v>18</v>
      </c>
      <c r="B14" s="2">
        <v>6330</v>
      </c>
      <c r="C14" s="2">
        <v>1563</v>
      </c>
      <c r="D14" s="3">
        <f t="shared" si="0"/>
        <v>0.24691943127962085</v>
      </c>
      <c r="E14" s="2">
        <v>816</v>
      </c>
      <c r="F14" s="3">
        <f t="shared" si="1"/>
        <v>0.52207293666026866</v>
      </c>
      <c r="G14" s="2"/>
    </row>
    <row r="15" spans="1:7" x14ac:dyDescent="0.25">
      <c r="A15" t="s">
        <v>19</v>
      </c>
      <c r="B15" s="2">
        <v>2095</v>
      </c>
      <c r="C15" s="2">
        <v>125</v>
      </c>
      <c r="D15" s="3">
        <f t="shared" si="0"/>
        <v>5.9665871121718374E-2</v>
      </c>
      <c r="E15" s="2">
        <v>0</v>
      </c>
      <c r="F15" s="3">
        <f t="shared" si="1"/>
        <v>0</v>
      </c>
      <c r="G15" s="2"/>
    </row>
    <row r="16" spans="1:7" x14ac:dyDescent="0.25">
      <c r="A16" t="s">
        <v>20</v>
      </c>
      <c r="B16" s="2">
        <v>270</v>
      </c>
      <c r="C16" s="2">
        <v>34</v>
      </c>
      <c r="D16" s="3">
        <f t="shared" si="0"/>
        <v>0.12592592592592591</v>
      </c>
      <c r="E16" s="2">
        <v>0</v>
      </c>
      <c r="F16" s="3">
        <f t="shared" si="1"/>
        <v>0</v>
      </c>
      <c r="G16" s="2"/>
    </row>
    <row r="17" spans="1:7" x14ac:dyDescent="0.25">
      <c r="A17" t="s">
        <v>21</v>
      </c>
      <c r="B17" s="2">
        <v>9912</v>
      </c>
      <c r="C17" s="2">
        <v>2680</v>
      </c>
      <c r="D17" s="3">
        <f t="shared" si="0"/>
        <v>0.27037933817594834</v>
      </c>
      <c r="E17" s="2">
        <v>434</v>
      </c>
      <c r="F17" s="3">
        <f t="shared" si="1"/>
        <v>0.16194029850746269</v>
      </c>
      <c r="G17" s="2"/>
    </row>
    <row r="18" spans="1:7" x14ac:dyDescent="0.25">
      <c r="A18" t="s">
        <v>22</v>
      </c>
      <c r="B18" s="2">
        <v>819</v>
      </c>
      <c r="C18" s="2">
        <v>294</v>
      </c>
      <c r="D18" s="3">
        <f t="shared" si="0"/>
        <v>0.35897435897435898</v>
      </c>
      <c r="E18" s="2">
        <v>50</v>
      </c>
      <c r="F18" s="3">
        <f t="shared" si="1"/>
        <v>0.17006802721088435</v>
      </c>
      <c r="G18" s="2"/>
    </row>
    <row r="19" spans="1:7" x14ac:dyDescent="0.25">
      <c r="A19" t="s">
        <v>23</v>
      </c>
      <c r="B19" s="2">
        <v>1099</v>
      </c>
      <c r="C19" s="2">
        <v>278</v>
      </c>
      <c r="D19" s="3">
        <f t="shared" si="0"/>
        <v>0.25295723384895358</v>
      </c>
      <c r="E19" s="2">
        <v>39</v>
      </c>
      <c r="F19" s="3">
        <f t="shared" si="1"/>
        <v>0.14028776978417265</v>
      </c>
      <c r="G19" s="2"/>
    </row>
    <row r="20" spans="1:7" x14ac:dyDescent="0.25">
      <c r="A20" t="s">
        <v>24</v>
      </c>
      <c r="B20" s="2">
        <v>2196</v>
      </c>
      <c r="C20" s="2">
        <v>625</v>
      </c>
      <c r="D20" s="3">
        <f t="shared" si="0"/>
        <v>0.28460837887067397</v>
      </c>
      <c r="E20" s="2">
        <v>217</v>
      </c>
      <c r="F20" s="3">
        <f t="shared" si="1"/>
        <v>0.34720000000000001</v>
      </c>
      <c r="G20" s="2"/>
    </row>
    <row r="21" spans="1:7" x14ac:dyDescent="0.25">
      <c r="A21" t="s">
        <v>25</v>
      </c>
      <c r="B21" s="2">
        <v>1324</v>
      </c>
      <c r="C21" s="2">
        <v>130</v>
      </c>
      <c r="D21" s="3">
        <f t="shared" si="0"/>
        <v>9.8187311178247735E-2</v>
      </c>
      <c r="E21" s="2">
        <v>0</v>
      </c>
      <c r="F21" s="3">
        <f t="shared" si="1"/>
        <v>0</v>
      </c>
      <c r="G21" s="2"/>
    </row>
    <row r="22" spans="1:7" x14ac:dyDescent="0.25">
      <c r="A22" t="s">
        <v>26</v>
      </c>
      <c r="B22" s="2">
        <v>162</v>
      </c>
      <c r="C22" s="2">
        <v>16</v>
      </c>
      <c r="D22" s="3">
        <f t="shared" si="0"/>
        <v>9.8765432098765427E-2</v>
      </c>
      <c r="E22" s="2">
        <v>0</v>
      </c>
      <c r="F22" s="3">
        <f t="shared" si="1"/>
        <v>0</v>
      </c>
      <c r="G22" s="2"/>
    </row>
    <row r="23" spans="1:7" x14ac:dyDescent="0.25">
      <c r="A23" t="s">
        <v>27</v>
      </c>
      <c r="B23" s="2">
        <v>1046</v>
      </c>
      <c r="C23" s="2">
        <v>299</v>
      </c>
      <c r="D23" s="3">
        <f t="shared" si="0"/>
        <v>0.28585086042065011</v>
      </c>
      <c r="E23" s="2">
        <v>18</v>
      </c>
      <c r="F23" s="3">
        <f t="shared" si="1"/>
        <v>6.0200668896321072E-2</v>
      </c>
      <c r="G23" s="2"/>
    </row>
    <row r="24" spans="1:7" x14ac:dyDescent="0.25">
      <c r="A24" t="s">
        <v>28</v>
      </c>
      <c r="B24" s="2">
        <v>1969</v>
      </c>
      <c r="C24" s="2">
        <v>526</v>
      </c>
      <c r="D24" s="3">
        <f t="shared" si="0"/>
        <v>0.26714068054850176</v>
      </c>
      <c r="E24" s="2">
        <v>69</v>
      </c>
      <c r="F24" s="3">
        <f t="shared" si="1"/>
        <v>0.13117870722433461</v>
      </c>
      <c r="G24" s="2"/>
    </row>
    <row r="25" spans="1:7" x14ac:dyDescent="0.25">
      <c r="A25" t="s">
        <v>29</v>
      </c>
      <c r="B25" s="2">
        <v>1015</v>
      </c>
      <c r="C25" s="2">
        <v>75</v>
      </c>
      <c r="D25" s="3">
        <f t="shared" si="0"/>
        <v>7.3891625615763554E-2</v>
      </c>
      <c r="E25" s="2">
        <v>0</v>
      </c>
      <c r="F25" s="3">
        <f t="shared" si="1"/>
        <v>0</v>
      </c>
      <c r="G25" s="2"/>
    </row>
    <row r="26" spans="1:7" x14ac:dyDescent="0.25">
      <c r="A26" t="s">
        <v>30</v>
      </c>
      <c r="B26" s="2">
        <v>2946</v>
      </c>
      <c r="C26" s="2">
        <v>1377</v>
      </c>
      <c r="D26" s="3">
        <f t="shared" si="0"/>
        <v>0.46741344195519346</v>
      </c>
      <c r="E26" s="2">
        <v>806</v>
      </c>
      <c r="F26" s="3">
        <f t="shared" si="1"/>
        <v>0.58533042846768335</v>
      </c>
      <c r="G26" s="2" t="s">
        <v>31</v>
      </c>
    </row>
    <row r="27" spans="1:7" x14ac:dyDescent="0.25">
      <c r="A27" t="s">
        <v>32</v>
      </c>
      <c r="B27" s="2">
        <v>8917</v>
      </c>
      <c r="C27" s="2">
        <v>2324</v>
      </c>
      <c r="D27" s="3">
        <f t="shared" si="0"/>
        <v>0.26062577099921497</v>
      </c>
      <c r="E27" s="2">
        <v>716</v>
      </c>
      <c r="F27" s="3">
        <f t="shared" si="1"/>
        <v>0.30808950086058517</v>
      </c>
      <c r="G27" s="2"/>
    </row>
    <row r="28" spans="1:7" x14ac:dyDescent="0.25">
      <c r="A28" t="s">
        <v>33</v>
      </c>
      <c r="B28" s="2">
        <v>703</v>
      </c>
      <c r="C28" s="2">
        <v>145</v>
      </c>
      <c r="D28" s="3">
        <f t="shared" si="0"/>
        <v>0.20625889046941678</v>
      </c>
      <c r="E28" s="2">
        <v>0</v>
      </c>
      <c r="F28" s="3">
        <f t="shared" si="1"/>
        <v>0</v>
      </c>
      <c r="G28" s="2"/>
    </row>
    <row r="29" spans="1:7" x14ac:dyDescent="0.25">
      <c r="A29" t="s">
        <v>34</v>
      </c>
      <c r="B29" s="2">
        <v>930</v>
      </c>
      <c r="C29" s="2">
        <v>318</v>
      </c>
      <c r="D29" s="3">
        <f t="shared" si="0"/>
        <v>0.34193548387096773</v>
      </c>
      <c r="E29" s="2">
        <v>24</v>
      </c>
      <c r="F29" s="3">
        <f t="shared" si="1"/>
        <v>7.5471698113207544E-2</v>
      </c>
      <c r="G29" s="2"/>
    </row>
    <row r="30" spans="1:7" x14ac:dyDescent="0.25">
      <c r="A30" t="s">
        <v>35</v>
      </c>
      <c r="B30" s="2">
        <v>974</v>
      </c>
      <c r="C30" s="2">
        <v>325</v>
      </c>
      <c r="D30" s="3">
        <f t="shared" si="0"/>
        <v>0.33367556468172482</v>
      </c>
      <c r="E30" s="2">
        <v>12</v>
      </c>
      <c r="F30" s="3">
        <f t="shared" si="1"/>
        <v>3.6923076923076927E-2</v>
      </c>
      <c r="G30" s="2"/>
    </row>
    <row r="31" spans="1:7" x14ac:dyDescent="0.25">
      <c r="A31" t="s">
        <v>36</v>
      </c>
      <c r="B31" s="2">
        <v>3265</v>
      </c>
      <c r="C31" s="2">
        <v>922</v>
      </c>
      <c r="D31" s="3">
        <f t="shared" si="0"/>
        <v>0.28238897396630935</v>
      </c>
      <c r="E31" s="2">
        <v>82</v>
      </c>
      <c r="F31" s="3">
        <f t="shared" si="1"/>
        <v>8.8937093275488072E-2</v>
      </c>
      <c r="G31" s="2"/>
    </row>
    <row r="32" spans="1:7" x14ac:dyDescent="0.25">
      <c r="A32" t="s">
        <v>37</v>
      </c>
      <c r="B32" s="2">
        <v>1122</v>
      </c>
      <c r="C32" s="2">
        <v>349</v>
      </c>
      <c r="D32" s="3">
        <f t="shared" si="0"/>
        <v>0.31105169340463457</v>
      </c>
      <c r="E32" s="2">
        <v>15</v>
      </c>
      <c r="F32" s="3">
        <f t="shared" si="1"/>
        <v>4.2979942693409739E-2</v>
      </c>
      <c r="G32" s="2"/>
    </row>
    <row r="33" spans="1:7" s="9" customFormat="1" x14ac:dyDescent="0.25">
      <c r="A33" s="9" t="s">
        <v>38</v>
      </c>
      <c r="B33" s="10">
        <v>455</v>
      </c>
      <c r="C33" s="10">
        <v>67</v>
      </c>
      <c r="D33" s="11">
        <f t="shared" si="0"/>
        <v>0.14725274725274726</v>
      </c>
      <c r="E33" s="10">
        <v>0</v>
      </c>
      <c r="F33" s="11">
        <f t="shared" si="1"/>
        <v>0</v>
      </c>
      <c r="G33" s="10"/>
    </row>
    <row r="34" spans="1:7" x14ac:dyDescent="0.25">
      <c r="A34" t="s">
        <v>39</v>
      </c>
      <c r="B34" s="2">
        <v>745</v>
      </c>
      <c r="C34" s="2">
        <v>106</v>
      </c>
      <c r="D34" s="3">
        <f t="shared" si="0"/>
        <v>0.14228187919463087</v>
      </c>
      <c r="E34" s="2">
        <v>10</v>
      </c>
      <c r="F34" s="3">
        <f t="shared" si="1"/>
        <v>9.4339622641509441E-2</v>
      </c>
      <c r="G34" s="2"/>
    </row>
    <row r="35" spans="1:7" x14ac:dyDescent="0.25">
      <c r="A35" t="s">
        <v>40</v>
      </c>
      <c r="B35" s="2">
        <v>74</v>
      </c>
      <c r="C35" s="2">
        <v>18</v>
      </c>
      <c r="D35" s="3">
        <f t="shared" si="0"/>
        <v>0.24324324324324326</v>
      </c>
      <c r="E35" s="2">
        <v>0</v>
      </c>
      <c r="F35" s="3">
        <f t="shared" si="1"/>
        <v>0</v>
      </c>
      <c r="G35" s="2"/>
    </row>
    <row r="36" spans="1:7" x14ac:dyDescent="0.25">
      <c r="A36" t="s">
        <v>41</v>
      </c>
      <c r="B36" s="2">
        <v>1245</v>
      </c>
      <c r="C36" s="2">
        <v>396</v>
      </c>
      <c r="D36" s="3">
        <f t="shared" si="0"/>
        <v>0.3180722891566265</v>
      </c>
      <c r="E36" s="2">
        <v>30</v>
      </c>
      <c r="F36" s="3">
        <f t="shared" si="1"/>
        <v>7.575757575757576E-2</v>
      </c>
      <c r="G36" s="2"/>
    </row>
    <row r="37" spans="1:7" x14ac:dyDescent="0.25">
      <c r="A37" t="s">
        <v>42</v>
      </c>
      <c r="B37" s="2">
        <v>32111</v>
      </c>
      <c r="C37" s="2">
        <v>14963</v>
      </c>
      <c r="D37" s="3">
        <f t="shared" si="0"/>
        <v>0.46597739092522811</v>
      </c>
      <c r="E37" s="2">
        <v>7998</v>
      </c>
      <c r="F37" s="3">
        <f t="shared" si="1"/>
        <v>0.5345184789146562</v>
      </c>
      <c r="G37" s="2" t="s">
        <v>31</v>
      </c>
    </row>
    <row r="38" spans="1:7" x14ac:dyDescent="0.25">
      <c r="A38" t="s">
        <v>43</v>
      </c>
      <c r="B38" s="2">
        <v>1127</v>
      </c>
      <c r="C38" s="2">
        <v>623</v>
      </c>
      <c r="D38" s="3">
        <f t="shared" si="0"/>
        <v>0.55279503105590067</v>
      </c>
      <c r="E38" s="2">
        <v>168</v>
      </c>
      <c r="F38" s="3">
        <f t="shared" si="1"/>
        <v>0.2696629213483146</v>
      </c>
      <c r="G38" s="2"/>
    </row>
    <row r="39" spans="1:7" x14ac:dyDescent="0.25">
      <c r="A39" t="s">
        <v>44</v>
      </c>
      <c r="B39" s="2">
        <v>1440</v>
      </c>
      <c r="C39" s="2">
        <v>569</v>
      </c>
      <c r="D39" s="3">
        <f t="shared" si="0"/>
        <v>0.39513888888888887</v>
      </c>
      <c r="E39" s="2">
        <v>253</v>
      </c>
      <c r="F39" s="3">
        <f t="shared" si="1"/>
        <v>0.44463971880492092</v>
      </c>
      <c r="G39" s="2" t="s">
        <v>31</v>
      </c>
    </row>
    <row r="40" spans="1:7" x14ac:dyDescent="0.25">
      <c r="A40" t="s">
        <v>45</v>
      </c>
      <c r="B40" s="2">
        <v>2823</v>
      </c>
      <c r="C40" s="2">
        <v>198</v>
      </c>
      <c r="D40" s="3">
        <f t="shared" si="0"/>
        <v>7.0138150903294366E-2</v>
      </c>
      <c r="E40" s="2">
        <v>0</v>
      </c>
      <c r="F40" s="3">
        <f t="shared" si="1"/>
        <v>0</v>
      </c>
      <c r="G40" s="2"/>
    </row>
    <row r="41" spans="1:7" x14ac:dyDescent="0.25">
      <c r="A41" t="s">
        <v>46</v>
      </c>
      <c r="B41" s="2">
        <v>715</v>
      </c>
      <c r="C41" s="2">
        <v>154</v>
      </c>
      <c r="D41" s="3">
        <f t="shared" si="0"/>
        <v>0.2153846153846154</v>
      </c>
      <c r="E41" s="2">
        <v>4</v>
      </c>
      <c r="F41" s="3">
        <f t="shared" si="1"/>
        <v>2.5974025974025976E-2</v>
      </c>
      <c r="G41" s="2"/>
    </row>
    <row r="42" spans="1:7" x14ac:dyDescent="0.25">
      <c r="A42" t="s">
        <v>47</v>
      </c>
      <c r="B42" s="2">
        <v>2861</v>
      </c>
      <c r="C42" s="2">
        <v>958</v>
      </c>
      <c r="D42" s="3">
        <f t="shared" si="0"/>
        <v>0.33484795526039846</v>
      </c>
      <c r="E42" s="2">
        <v>174</v>
      </c>
      <c r="F42" s="3">
        <f t="shared" si="1"/>
        <v>0.18162839248434237</v>
      </c>
      <c r="G42" s="2"/>
    </row>
    <row r="43" spans="1:7" x14ac:dyDescent="0.25">
      <c r="A43" t="s">
        <v>48</v>
      </c>
      <c r="B43" s="2">
        <v>1078</v>
      </c>
      <c r="C43" s="2">
        <v>361</v>
      </c>
      <c r="D43" s="3">
        <f t="shared" si="0"/>
        <v>0.33487940630797774</v>
      </c>
      <c r="E43" s="2">
        <v>39</v>
      </c>
      <c r="F43" s="3">
        <f t="shared" si="1"/>
        <v>0.10803324099722991</v>
      </c>
      <c r="G43" s="2"/>
    </row>
    <row r="44" spans="1:7" x14ac:dyDescent="0.25">
      <c r="A44" t="s">
        <v>49</v>
      </c>
      <c r="B44" s="2">
        <v>732</v>
      </c>
      <c r="C44" s="2">
        <v>99</v>
      </c>
      <c r="D44" s="3">
        <f t="shared" si="0"/>
        <v>0.13524590163934427</v>
      </c>
      <c r="E44" s="2">
        <v>0</v>
      </c>
      <c r="F44" s="3">
        <f t="shared" si="1"/>
        <v>0</v>
      </c>
      <c r="G44" s="2"/>
    </row>
    <row r="45" spans="1:7" x14ac:dyDescent="0.25">
      <c r="A45" t="s">
        <v>50</v>
      </c>
      <c r="B45" s="2">
        <v>3342</v>
      </c>
      <c r="C45" s="2">
        <v>1438</v>
      </c>
      <c r="D45" s="3">
        <f t="shared" si="0"/>
        <v>0.4302812687013764</v>
      </c>
      <c r="E45" s="2">
        <v>569</v>
      </c>
      <c r="F45" s="3">
        <f t="shared" si="1"/>
        <v>0.39568845618915161</v>
      </c>
      <c r="G45" s="2"/>
    </row>
    <row r="46" spans="1:7" x14ac:dyDescent="0.25">
      <c r="A46" t="s">
        <v>51</v>
      </c>
      <c r="B46" s="2">
        <v>985</v>
      </c>
      <c r="C46" s="2">
        <v>191</v>
      </c>
      <c r="D46" s="3">
        <f t="shared" si="0"/>
        <v>0.19390862944162437</v>
      </c>
      <c r="E46" s="2">
        <v>11</v>
      </c>
      <c r="F46" s="3">
        <f t="shared" si="1"/>
        <v>5.7591623036649213E-2</v>
      </c>
      <c r="G46" s="2"/>
    </row>
    <row r="47" spans="1:7" x14ac:dyDescent="0.25">
      <c r="A47" t="s">
        <v>52</v>
      </c>
      <c r="B47" s="2">
        <v>2401</v>
      </c>
      <c r="C47" s="2">
        <v>726</v>
      </c>
      <c r="D47" s="3">
        <f t="shared" si="0"/>
        <v>0.30237401082882132</v>
      </c>
      <c r="E47" s="2">
        <v>96</v>
      </c>
      <c r="F47" s="3">
        <f t="shared" si="1"/>
        <v>0.13223140495867769</v>
      </c>
      <c r="G47" s="2"/>
    </row>
    <row r="48" spans="1:7" x14ac:dyDescent="0.25">
      <c r="A48" t="s">
        <v>53</v>
      </c>
      <c r="B48" s="2">
        <v>1034</v>
      </c>
      <c r="C48" s="2">
        <v>419</v>
      </c>
      <c r="D48" s="3">
        <f t="shared" si="0"/>
        <v>0.40522243713733075</v>
      </c>
      <c r="E48" s="2">
        <v>26</v>
      </c>
      <c r="F48" s="3">
        <f t="shared" si="1"/>
        <v>6.205250596658711E-2</v>
      </c>
      <c r="G48" s="2"/>
    </row>
    <row r="49" spans="1:7" x14ac:dyDescent="0.25">
      <c r="A49" t="s">
        <v>54</v>
      </c>
      <c r="B49" s="2">
        <v>2007</v>
      </c>
      <c r="C49" s="2">
        <v>606</v>
      </c>
      <c r="D49" s="3">
        <f t="shared" si="0"/>
        <v>0.30194319880418535</v>
      </c>
      <c r="E49" s="2">
        <v>72</v>
      </c>
      <c r="F49" s="3">
        <f t="shared" si="1"/>
        <v>0.11881188118811881</v>
      </c>
      <c r="G49" s="2"/>
    </row>
    <row r="50" spans="1:7" x14ac:dyDescent="0.25">
      <c r="A50" t="s">
        <v>55</v>
      </c>
      <c r="B50" s="2">
        <v>12596</v>
      </c>
      <c r="C50" s="2">
        <v>3417</v>
      </c>
      <c r="D50" s="3">
        <f t="shared" si="0"/>
        <v>0.27127659574468083</v>
      </c>
      <c r="E50" s="2">
        <v>1008</v>
      </c>
      <c r="F50" s="3">
        <f t="shared" si="1"/>
        <v>0.29499561018437226</v>
      </c>
      <c r="G50" s="2"/>
    </row>
    <row r="51" spans="1:7" x14ac:dyDescent="0.25">
      <c r="A51" t="s">
        <v>56</v>
      </c>
      <c r="B51" s="2">
        <v>888</v>
      </c>
      <c r="C51" s="2">
        <v>247</v>
      </c>
      <c r="D51" s="3">
        <f t="shared" si="0"/>
        <v>0.27815315315315314</v>
      </c>
      <c r="E51" s="2">
        <v>33</v>
      </c>
      <c r="F51" s="3">
        <f t="shared" si="1"/>
        <v>0.13360323886639677</v>
      </c>
      <c r="G51" s="2"/>
    </row>
    <row r="52" spans="1:7" x14ac:dyDescent="0.25">
      <c r="A52" t="s">
        <v>57</v>
      </c>
      <c r="B52" s="2">
        <v>1128</v>
      </c>
      <c r="C52" s="2">
        <v>250</v>
      </c>
      <c r="D52" s="3">
        <f t="shared" si="0"/>
        <v>0.22163120567375885</v>
      </c>
      <c r="E52" s="2">
        <v>5</v>
      </c>
      <c r="F52" s="3">
        <f t="shared" si="1"/>
        <v>0.02</v>
      </c>
      <c r="G52" s="2"/>
    </row>
    <row r="53" spans="1:7" x14ac:dyDescent="0.25">
      <c r="A53" t="s">
        <v>58</v>
      </c>
      <c r="B53" s="2">
        <v>1045</v>
      </c>
      <c r="C53" s="2">
        <v>360</v>
      </c>
      <c r="D53" s="3">
        <f t="shared" si="0"/>
        <v>0.34449760765550241</v>
      </c>
      <c r="E53" s="2">
        <v>35</v>
      </c>
      <c r="F53" s="3">
        <f t="shared" si="1"/>
        <v>9.7222222222222224E-2</v>
      </c>
      <c r="G53" s="2"/>
    </row>
    <row r="54" spans="1:7" x14ac:dyDescent="0.25">
      <c r="A54" t="s">
        <v>59</v>
      </c>
      <c r="B54" s="2">
        <v>805</v>
      </c>
      <c r="C54" s="2">
        <v>297</v>
      </c>
      <c r="D54" s="3">
        <f t="shared" si="0"/>
        <v>0.36894409937888201</v>
      </c>
      <c r="E54" s="2">
        <v>0</v>
      </c>
      <c r="F54" s="3">
        <f t="shared" si="1"/>
        <v>0</v>
      </c>
      <c r="G54" s="2"/>
    </row>
    <row r="55" spans="1:7" x14ac:dyDescent="0.25">
      <c r="A55" t="s">
        <v>60</v>
      </c>
      <c r="B55" s="2">
        <v>972</v>
      </c>
      <c r="C55" s="2">
        <v>156</v>
      </c>
      <c r="D55" s="3">
        <f t="shared" si="0"/>
        <v>0.16049382716049382</v>
      </c>
      <c r="E55" s="2">
        <v>0</v>
      </c>
      <c r="F55" s="3">
        <f t="shared" si="1"/>
        <v>0</v>
      </c>
      <c r="G55" s="2"/>
    </row>
    <row r="56" spans="1:7" x14ac:dyDescent="0.25">
      <c r="A56" t="s">
        <v>61</v>
      </c>
      <c r="B56" s="2">
        <v>966</v>
      </c>
      <c r="C56" s="2">
        <v>269</v>
      </c>
      <c r="D56" s="3">
        <f t="shared" si="0"/>
        <v>0.27846790890269152</v>
      </c>
      <c r="E56" s="2">
        <v>62</v>
      </c>
      <c r="F56" s="3">
        <f t="shared" si="1"/>
        <v>0.23048327137546468</v>
      </c>
      <c r="G56" s="2"/>
    </row>
    <row r="57" spans="1:7" x14ac:dyDescent="0.25">
      <c r="A57" t="s">
        <v>62</v>
      </c>
      <c r="B57" s="2">
        <v>1844</v>
      </c>
      <c r="C57" s="2">
        <v>306</v>
      </c>
      <c r="D57" s="3">
        <f t="shared" si="0"/>
        <v>0.16594360086767895</v>
      </c>
      <c r="E57" s="2">
        <v>69</v>
      </c>
      <c r="F57" s="3">
        <f t="shared" si="1"/>
        <v>0.22549019607843138</v>
      </c>
      <c r="G57" s="2"/>
    </row>
    <row r="58" spans="1:7" x14ac:dyDescent="0.25">
      <c r="A58" t="s">
        <v>63</v>
      </c>
      <c r="B58" s="2">
        <v>3620</v>
      </c>
      <c r="C58" s="2">
        <v>848</v>
      </c>
      <c r="D58" s="3">
        <f t="shared" si="0"/>
        <v>0.23425414364640884</v>
      </c>
      <c r="E58" s="2">
        <v>120</v>
      </c>
      <c r="F58" s="3">
        <f t="shared" si="1"/>
        <v>0.14150943396226415</v>
      </c>
      <c r="G58" s="2"/>
    </row>
    <row r="59" spans="1:7" x14ac:dyDescent="0.25">
      <c r="A59" t="s">
        <v>64</v>
      </c>
      <c r="B59" s="2">
        <v>1779</v>
      </c>
      <c r="C59" s="2">
        <v>472</v>
      </c>
      <c r="D59" s="3">
        <f t="shared" si="0"/>
        <v>0.26531759415401912</v>
      </c>
      <c r="E59" s="2">
        <v>57</v>
      </c>
      <c r="F59" s="3">
        <f t="shared" si="1"/>
        <v>0.12076271186440678</v>
      </c>
      <c r="G59" s="2"/>
    </row>
    <row r="60" spans="1:7" x14ac:dyDescent="0.25">
      <c r="A60" t="s">
        <v>65</v>
      </c>
      <c r="B60" s="2">
        <v>1347</v>
      </c>
      <c r="C60" s="2">
        <v>129</v>
      </c>
      <c r="D60" s="3">
        <f t="shared" si="0"/>
        <v>9.5768374164810696E-2</v>
      </c>
      <c r="E60" s="2">
        <v>20</v>
      </c>
      <c r="F60" s="3">
        <f t="shared" si="1"/>
        <v>0.15503875968992248</v>
      </c>
      <c r="G60" s="2"/>
    </row>
    <row r="61" spans="1:7" x14ac:dyDescent="0.25">
      <c r="A61" t="s">
        <v>66</v>
      </c>
      <c r="B61" s="2">
        <v>1580</v>
      </c>
      <c r="C61" s="2">
        <v>522</v>
      </c>
      <c r="D61" s="3">
        <f t="shared" si="0"/>
        <v>0.33037974683544302</v>
      </c>
      <c r="E61" s="2">
        <v>108</v>
      </c>
      <c r="F61" s="3">
        <f t="shared" si="1"/>
        <v>0.20689655172413793</v>
      </c>
      <c r="G61" s="2"/>
    </row>
    <row r="62" spans="1:7" x14ac:dyDescent="0.25">
      <c r="A62" t="s">
        <v>67</v>
      </c>
      <c r="B62" s="2">
        <v>1152</v>
      </c>
      <c r="C62" s="2">
        <v>464</v>
      </c>
      <c r="D62" s="3">
        <f t="shared" si="0"/>
        <v>0.40277777777777779</v>
      </c>
      <c r="E62" s="2">
        <v>66</v>
      </c>
      <c r="F62" s="3">
        <f t="shared" si="1"/>
        <v>0.14224137931034483</v>
      </c>
      <c r="G62" s="2"/>
    </row>
    <row r="63" spans="1:7" x14ac:dyDescent="0.25">
      <c r="A63" t="s">
        <v>68</v>
      </c>
      <c r="B63" s="2">
        <v>212</v>
      </c>
      <c r="C63" s="2">
        <v>79</v>
      </c>
      <c r="D63" s="3">
        <f t="shared" si="0"/>
        <v>0.37264150943396224</v>
      </c>
      <c r="E63" s="2">
        <v>0</v>
      </c>
      <c r="F63" s="3">
        <f t="shared" si="1"/>
        <v>0</v>
      </c>
      <c r="G63" s="2"/>
    </row>
    <row r="64" spans="1:7" x14ac:dyDescent="0.25">
      <c r="A64" t="s">
        <v>69</v>
      </c>
      <c r="B64" s="2">
        <v>2108</v>
      </c>
      <c r="C64" s="2">
        <v>1471</v>
      </c>
      <c r="D64" s="3">
        <f t="shared" si="0"/>
        <v>0.69781783681214427</v>
      </c>
      <c r="E64" s="2">
        <v>600</v>
      </c>
      <c r="F64" s="3">
        <f t="shared" si="1"/>
        <v>0.40788579197824609</v>
      </c>
      <c r="G64" s="2" t="s">
        <v>31</v>
      </c>
    </row>
    <row r="65" spans="1:7" s="9" customFormat="1" x14ac:dyDescent="0.25">
      <c r="A65" s="9" t="s">
        <v>70</v>
      </c>
      <c r="B65" s="10">
        <v>987</v>
      </c>
      <c r="C65" s="10">
        <v>64</v>
      </c>
      <c r="D65" s="11">
        <f t="shared" si="0"/>
        <v>6.4842958459979741E-2</v>
      </c>
      <c r="E65" s="10">
        <v>0</v>
      </c>
      <c r="F65" s="11">
        <f t="shared" si="1"/>
        <v>0</v>
      </c>
      <c r="G65" s="10"/>
    </row>
    <row r="66" spans="1:7" x14ac:dyDescent="0.25">
      <c r="A66" t="s">
        <v>71</v>
      </c>
      <c r="B66" s="2">
        <v>746</v>
      </c>
      <c r="C66" s="2">
        <v>66</v>
      </c>
      <c r="D66" s="3">
        <f t="shared" si="0"/>
        <v>8.8471849865951746E-2</v>
      </c>
      <c r="E66" s="2">
        <v>0</v>
      </c>
      <c r="F66" s="3">
        <f t="shared" si="1"/>
        <v>0</v>
      </c>
      <c r="G66" s="2"/>
    </row>
    <row r="67" spans="1:7" x14ac:dyDescent="0.25">
      <c r="A67" t="s">
        <v>72</v>
      </c>
      <c r="B67" s="2">
        <v>2143</v>
      </c>
      <c r="C67" s="2">
        <v>386</v>
      </c>
      <c r="D67" s="3">
        <f t="shared" si="0"/>
        <v>0.18012132524498367</v>
      </c>
      <c r="E67" s="2">
        <v>34</v>
      </c>
      <c r="F67" s="3">
        <f t="shared" si="1"/>
        <v>8.8082901554404139E-2</v>
      </c>
      <c r="G67" s="2"/>
    </row>
    <row r="68" spans="1:7" x14ac:dyDescent="0.25">
      <c r="A68" t="s">
        <v>73</v>
      </c>
      <c r="B68" s="2">
        <v>8008</v>
      </c>
      <c r="C68" s="2">
        <v>2337</v>
      </c>
      <c r="D68" s="3">
        <f t="shared" ref="D68:D131" si="2">C68/B68</f>
        <v>0.29183316683316685</v>
      </c>
      <c r="E68" s="2">
        <v>1994</v>
      </c>
      <c r="F68" s="3">
        <f t="shared" ref="F68:F131" si="3">E68/C68</f>
        <v>0.85323063756953355</v>
      </c>
      <c r="G68" s="2" t="s">
        <v>31</v>
      </c>
    </row>
    <row r="69" spans="1:7" x14ac:dyDescent="0.25">
      <c r="A69" t="s">
        <v>74</v>
      </c>
      <c r="B69" s="2">
        <v>9079</v>
      </c>
      <c r="C69" s="2">
        <v>2121</v>
      </c>
      <c r="D69" s="3">
        <f t="shared" si="2"/>
        <v>0.2336160370084811</v>
      </c>
      <c r="E69" s="2">
        <v>392</v>
      </c>
      <c r="F69" s="3">
        <f t="shared" si="3"/>
        <v>0.18481848184818481</v>
      </c>
      <c r="G69" s="2"/>
    </row>
    <row r="70" spans="1:7" x14ac:dyDescent="0.25">
      <c r="A70" t="s">
        <v>75</v>
      </c>
      <c r="B70" s="2">
        <v>1906</v>
      </c>
      <c r="C70" s="2">
        <v>654</v>
      </c>
      <c r="D70" s="3">
        <f t="shared" si="2"/>
        <v>0.34312696747114374</v>
      </c>
      <c r="E70" s="2">
        <v>83</v>
      </c>
      <c r="F70" s="3">
        <f t="shared" si="3"/>
        <v>0.12691131498470948</v>
      </c>
      <c r="G70" s="2"/>
    </row>
    <row r="71" spans="1:7" x14ac:dyDescent="0.25">
      <c r="A71" t="s">
        <v>76</v>
      </c>
      <c r="B71" s="2">
        <v>3927</v>
      </c>
      <c r="C71" s="2">
        <v>1375</v>
      </c>
      <c r="D71" s="3">
        <f t="shared" si="2"/>
        <v>0.35014005602240894</v>
      </c>
      <c r="E71" s="2">
        <v>165</v>
      </c>
      <c r="F71" s="3">
        <f t="shared" si="3"/>
        <v>0.12</v>
      </c>
      <c r="G71" s="2"/>
    </row>
    <row r="72" spans="1:7" x14ac:dyDescent="0.25">
      <c r="A72" t="s">
        <v>77</v>
      </c>
      <c r="B72" s="2">
        <v>1508</v>
      </c>
      <c r="C72" s="2">
        <v>200</v>
      </c>
      <c r="D72" s="3">
        <f t="shared" si="2"/>
        <v>0.13262599469496023</v>
      </c>
      <c r="E72" s="2">
        <v>0</v>
      </c>
      <c r="F72" s="3">
        <f t="shared" si="3"/>
        <v>0</v>
      </c>
      <c r="G72" s="2"/>
    </row>
    <row r="73" spans="1:7" x14ac:dyDescent="0.25">
      <c r="A73" t="s">
        <v>78</v>
      </c>
      <c r="B73" s="2">
        <v>772</v>
      </c>
      <c r="C73" s="2">
        <v>83</v>
      </c>
      <c r="D73" s="3">
        <f t="shared" si="2"/>
        <v>0.10751295336787564</v>
      </c>
      <c r="E73" s="2">
        <v>0</v>
      </c>
      <c r="F73" s="3">
        <f t="shared" si="3"/>
        <v>0</v>
      </c>
      <c r="G73" s="2"/>
    </row>
    <row r="74" spans="1:7" x14ac:dyDescent="0.25">
      <c r="A74" t="s">
        <v>79</v>
      </c>
      <c r="B74" s="2">
        <v>1235</v>
      </c>
      <c r="C74" s="2">
        <v>91</v>
      </c>
      <c r="D74" s="3">
        <f t="shared" si="2"/>
        <v>7.3684210526315783E-2</v>
      </c>
      <c r="E74" s="2">
        <v>0</v>
      </c>
      <c r="F74" s="3">
        <f t="shared" si="3"/>
        <v>0</v>
      </c>
      <c r="G74" s="2"/>
    </row>
    <row r="75" spans="1:7" x14ac:dyDescent="0.25">
      <c r="A75" t="s">
        <v>80</v>
      </c>
      <c r="B75" s="2">
        <v>2375</v>
      </c>
      <c r="C75" s="2">
        <v>855</v>
      </c>
      <c r="D75" s="3">
        <f t="shared" si="2"/>
        <v>0.36</v>
      </c>
      <c r="E75" s="2">
        <v>120</v>
      </c>
      <c r="F75" s="3">
        <f t="shared" si="3"/>
        <v>0.14035087719298245</v>
      </c>
      <c r="G75" s="2"/>
    </row>
    <row r="76" spans="1:7" x14ac:dyDescent="0.25">
      <c r="A76" t="s">
        <v>81</v>
      </c>
      <c r="B76" s="2">
        <v>1108</v>
      </c>
      <c r="C76" s="2">
        <v>117</v>
      </c>
      <c r="D76" s="3">
        <f t="shared" si="2"/>
        <v>0.1055956678700361</v>
      </c>
      <c r="E76" s="2">
        <v>0</v>
      </c>
      <c r="F76" s="3">
        <f t="shared" si="3"/>
        <v>0</v>
      </c>
      <c r="G76" s="2"/>
    </row>
    <row r="77" spans="1:7" x14ac:dyDescent="0.25">
      <c r="A77" t="s">
        <v>82</v>
      </c>
      <c r="B77" s="2">
        <v>1089</v>
      </c>
      <c r="C77" s="2">
        <v>73</v>
      </c>
      <c r="D77" s="3">
        <f t="shared" si="2"/>
        <v>6.7033976124885222E-2</v>
      </c>
      <c r="E77" s="2">
        <v>0</v>
      </c>
      <c r="F77" s="3">
        <f t="shared" si="3"/>
        <v>0</v>
      </c>
      <c r="G77" s="2"/>
    </row>
    <row r="78" spans="1:7" x14ac:dyDescent="0.25">
      <c r="A78" t="s">
        <v>83</v>
      </c>
      <c r="B78" s="2">
        <v>4021</v>
      </c>
      <c r="C78" s="2">
        <v>1141</v>
      </c>
      <c r="D78" s="3">
        <f t="shared" si="2"/>
        <v>0.28376025864212884</v>
      </c>
      <c r="E78" s="2">
        <v>141</v>
      </c>
      <c r="F78" s="3">
        <f t="shared" si="3"/>
        <v>0.12357581069237511</v>
      </c>
      <c r="G78" s="2"/>
    </row>
    <row r="79" spans="1:7" s="9" customFormat="1" x14ac:dyDescent="0.25">
      <c r="A79" s="9" t="s">
        <v>84</v>
      </c>
      <c r="B79" s="10">
        <v>867</v>
      </c>
      <c r="C79" s="10">
        <v>79</v>
      </c>
      <c r="D79" s="11">
        <f t="shared" si="2"/>
        <v>9.1118800461361019E-2</v>
      </c>
      <c r="E79" s="10">
        <v>0</v>
      </c>
      <c r="F79" s="11">
        <f t="shared" si="3"/>
        <v>0</v>
      </c>
      <c r="G79" s="10"/>
    </row>
    <row r="80" spans="1:7" x14ac:dyDescent="0.25">
      <c r="A80" t="s">
        <v>85</v>
      </c>
      <c r="B80" s="2">
        <v>167</v>
      </c>
      <c r="C80" s="2">
        <v>87</v>
      </c>
      <c r="D80" s="3">
        <f t="shared" si="2"/>
        <v>0.52095808383233533</v>
      </c>
      <c r="E80" s="2">
        <v>13</v>
      </c>
      <c r="F80" s="3">
        <f t="shared" si="3"/>
        <v>0.14942528735632185</v>
      </c>
      <c r="G80" s="2"/>
    </row>
    <row r="81" spans="1:7" x14ac:dyDescent="0.25">
      <c r="A81" t="s">
        <v>86</v>
      </c>
      <c r="B81" s="2">
        <v>577</v>
      </c>
      <c r="C81" s="2">
        <v>196</v>
      </c>
      <c r="D81" s="3">
        <f t="shared" si="2"/>
        <v>0.33968804159445409</v>
      </c>
      <c r="E81" s="2">
        <v>16</v>
      </c>
      <c r="F81" s="3">
        <f t="shared" si="3"/>
        <v>8.1632653061224483E-2</v>
      </c>
      <c r="G81" s="2"/>
    </row>
    <row r="82" spans="1:7" x14ac:dyDescent="0.25">
      <c r="A82" t="s">
        <v>87</v>
      </c>
      <c r="B82" s="2">
        <v>59</v>
      </c>
      <c r="C82" s="2">
        <v>16</v>
      </c>
      <c r="D82" s="3">
        <f t="shared" si="2"/>
        <v>0.2711864406779661</v>
      </c>
      <c r="E82" s="2">
        <v>0</v>
      </c>
      <c r="F82" s="3">
        <f t="shared" si="3"/>
        <v>0</v>
      </c>
      <c r="G82" s="2"/>
    </row>
    <row r="83" spans="1:7" x14ac:dyDescent="0.25">
      <c r="A83" t="s">
        <v>88</v>
      </c>
      <c r="B83" s="2">
        <v>1843</v>
      </c>
      <c r="C83" s="2">
        <v>94</v>
      </c>
      <c r="D83" s="3">
        <f t="shared" si="2"/>
        <v>5.1003798155181766E-2</v>
      </c>
      <c r="E83" s="2">
        <v>94</v>
      </c>
      <c r="F83" s="3">
        <f t="shared" si="3"/>
        <v>1</v>
      </c>
      <c r="G83" s="2"/>
    </row>
    <row r="84" spans="1:7" x14ac:dyDescent="0.25">
      <c r="A84" t="s">
        <v>89</v>
      </c>
      <c r="B84" s="2">
        <v>237</v>
      </c>
      <c r="C84" s="2">
        <v>54</v>
      </c>
      <c r="D84" s="3">
        <f t="shared" si="2"/>
        <v>0.22784810126582278</v>
      </c>
      <c r="E84" s="2">
        <v>0</v>
      </c>
      <c r="F84" s="3">
        <f t="shared" si="3"/>
        <v>0</v>
      </c>
      <c r="G84" s="2"/>
    </row>
    <row r="85" spans="1:7" s="9" customFormat="1" x14ac:dyDescent="0.25">
      <c r="A85" s="9" t="s">
        <v>90</v>
      </c>
      <c r="B85" s="10">
        <v>670</v>
      </c>
      <c r="C85" s="10">
        <v>111</v>
      </c>
      <c r="D85" s="11">
        <f t="shared" si="2"/>
        <v>0.16567164179104477</v>
      </c>
      <c r="E85" s="10">
        <v>0</v>
      </c>
      <c r="F85" s="11">
        <f t="shared" si="3"/>
        <v>0</v>
      </c>
      <c r="G85" s="10"/>
    </row>
    <row r="86" spans="1:7" x14ac:dyDescent="0.25">
      <c r="A86" t="s">
        <v>91</v>
      </c>
      <c r="B86" s="2">
        <v>769</v>
      </c>
      <c r="C86" s="2">
        <v>95</v>
      </c>
      <c r="D86" s="3">
        <f t="shared" si="2"/>
        <v>0.1235370611183355</v>
      </c>
      <c r="E86" s="10">
        <v>0</v>
      </c>
      <c r="F86" s="3">
        <f t="shared" si="3"/>
        <v>0</v>
      </c>
      <c r="G86" s="2"/>
    </row>
    <row r="87" spans="1:7" x14ac:dyDescent="0.25">
      <c r="A87" t="s">
        <v>92</v>
      </c>
      <c r="B87" s="2">
        <v>231</v>
      </c>
      <c r="C87" s="2">
        <v>73</v>
      </c>
      <c r="D87" s="3">
        <f t="shared" si="2"/>
        <v>0.31601731601731603</v>
      </c>
      <c r="E87" s="2">
        <v>4</v>
      </c>
      <c r="F87" s="3">
        <f t="shared" si="3"/>
        <v>5.4794520547945202E-2</v>
      </c>
      <c r="G87" s="2"/>
    </row>
    <row r="88" spans="1:7" x14ac:dyDescent="0.25">
      <c r="A88" t="s">
        <v>93</v>
      </c>
      <c r="B88" s="2">
        <v>1780</v>
      </c>
      <c r="C88" s="2">
        <v>1206</v>
      </c>
      <c r="D88" s="3">
        <f t="shared" si="2"/>
        <v>0.67752808988764046</v>
      </c>
      <c r="E88" s="2">
        <v>135</v>
      </c>
      <c r="F88" s="3">
        <f t="shared" si="3"/>
        <v>0.11194029850746269</v>
      </c>
      <c r="G88" s="2"/>
    </row>
    <row r="89" spans="1:7" x14ac:dyDescent="0.25">
      <c r="A89" t="s">
        <v>94</v>
      </c>
      <c r="B89" s="2">
        <v>602</v>
      </c>
      <c r="C89" s="2">
        <v>225</v>
      </c>
      <c r="D89" s="3">
        <f t="shared" si="2"/>
        <v>0.37375415282392027</v>
      </c>
      <c r="E89" s="2">
        <v>35</v>
      </c>
      <c r="F89" s="3">
        <f t="shared" si="3"/>
        <v>0.15555555555555556</v>
      </c>
      <c r="G89" s="2"/>
    </row>
    <row r="90" spans="1:7" x14ac:dyDescent="0.25">
      <c r="A90" t="s">
        <v>95</v>
      </c>
      <c r="B90" s="2">
        <v>259</v>
      </c>
      <c r="C90" s="2">
        <v>30</v>
      </c>
      <c r="D90" s="3">
        <f t="shared" si="2"/>
        <v>0.11583011583011583</v>
      </c>
      <c r="E90" s="2">
        <v>0</v>
      </c>
      <c r="F90" s="3">
        <f t="shared" si="3"/>
        <v>0</v>
      </c>
      <c r="G90" s="2"/>
    </row>
    <row r="91" spans="1:7" x14ac:dyDescent="0.25">
      <c r="A91" t="s">
        <v>96</v>
      </c>
      <c r="B91" s="2">
        <v>2292</v>
      </c>
      <c r="C91" s="2">
        <v>59</v>
      </c>
      <c r="D91" s="3">
        <f t="shared" si="2"/>
        <v>2.5741710296684119E-2</v>
      </c>
      <c r="E91" s="2">
        <v>59</v>
      </c>
      <c r="F91" s="3">
        <f t="shared" si="3"/>
        <v>1</v>
      </c>
      <c r="G91" s="2"/>
    </row>
    <row r="92" spans="1:7" x14ac:dyDescent="0.25">
      <c r="A92" t="s">
        <v>97</v>
      </c>
      <c r="B92" s="2">
        <v>9440</v>
      </c>
      <c r="C92" s="2">
        <v>2379</v>
      </c>
      <c r="D92" s="3">
        <f t="shared" si="2"/>
        <v>0.25201271186440677</v>
      </c>
      <c r="E92" s="2">
        <v>787</v>
      </c>
      <c r="F92" s="3">
        <f t="shared" si="3"/>
        <v>0.33081126523749477</v>
      </c>
      <c r="G92" s="2"/>
    </row>
    <row r="93" spans="1:7" x14ac:dyDescent="0.25">
      <c r="A93" t="s">
        <v>98</v>
      </c>
      <c r="B93" s="2">
        <v>2948</v>
      </c>
      <c r="C93" s="2">
        <v>815</v>
      </c>
      <c r="D93" s="3">
        <f t="shared" si="2"/>
        <v>0.27645861601085481</v>
      </c>
      <c r="E93" s="2">
        <v>87</v>
      </c>
      <c r="F93" s="3">
        <f t="shared" si="3"/>
        <v>0.10674846625766871</v>
      </c>
      <c r="G93" s="2"/>
    </row>
    <row r="94" spans="1:7" x14ac:dyDescent="0.25">
      <c r="A94" t="s">
        <v>99</v>
      </c>
      <c r="B94" s="2">
        <v>2440</v>
      </c>
      <c r="C94" s="2">
        <v>152</v>
      </c>
      <c r="D94" s="3">
        <f t="shared" si="2"/>
        <v>6.2295081967213117E-2</v>
      </c>
      <c r="E94" s="2">
        <v>0</v>
      </c>
      <c r="F94" s="3">
        <f t="shared" si="3"/>
        <v>0</v>
      </c>
      <c r="G94" s="2"/>
    </row>
    <row r="95" spans="1:7" x14ac:dyDescent="0.25">
      <c r="A95" t="s">
        <v>100</v>
      </c>
      <c r="B95" s="2">
        <v>4080</v>
      </c>
      <c r="C95" s="2">
        <v>1426</v>
      </c>
      <c r="D95" s="3">
        <f t="shared" si="2"/>
        <v>0.34950980392156861</v>
      </c>
      <c r="E95" s="2">
        <v>330</v>
      </c>
      <c r="F95" s="3">
        <f t="shared" si="3"/>
        <v>0.23141654978962131</v>
      </c>
      <c r="G95" s="2"/>
    </row>
    <row r="96" spans="1:7" x14ac:dyDescent="0.25">
      <c r="A96" t="s">
        <v>101</v>
      </c>
      <c r="B96" s="2">
        <v>473</v>
      </c>
      <c r="C96" s="2">
        <v>92</v>
      </c>
      <c r="D96" s="3">
        <f t="shared" si="2"/>
        <v>0.1945031712473573</v>
      </c>
      <c r="E96" s="2">
        <v>7</v>
      </c>
      <c r="F96" s="3">
        <f t="shared" si="3"/>
        <v>7.6086956521739135E-2</v>
      </c>
      <c r="G96" s="2"/>
    </row>
    <row r="97" spans="1:7" x14ac:dyDescent="0.25">
      <c r="A97" t="s">
        <v>102</v>
      </c>
      <c r="B97" s="2">
        <v>545</v>
      </c>
      <c r="C97" s="2">
        <v>182</v>
      </c>
      <c r="D97" s="3">
        <f t="shared" si="2"/>
        <v>0.33394495412844039</v>
      </c>
      <c r="E97" s="2">
        <v>24</v>
      </c>
      <c r="F97" s="3">
        <f t="shared" si="3"/>
        <v>0.13186813186813187</v>
      </c>
      <c r="G97" s="2"/>
    </row>
    <row r="98" spans="1:7" x14ac:dyDescent="0.25">
      <c r="A98" t="s">
        <v>103</v>
      </c>
      <c r="B98" s="2">
        <v>1680</v>
      </c>
      <c r="C98" s="2">
        <v>373</v>
      </c>
      <c r="D98" s="3">
        <f t="shared" si="2"/>
        <v>0.22202380952380951</v>
      </c>
      <c r="E98" s="2">
        <v>0</v>
      </c>
      <c r="F98" s="3">
        <f t="shared" si="3"/>
        <v>0</v>
      </c>
      <c r="G98" s="2"/>
    </row>
    <row r="99" spans="1:7" x14ac:dyDescent="0.25">
      <c r="A99" t="s">
        <v>104</v>
      </c>
      <c r="B99" s="2">
        <v>2266</v>
      </c>
      <c r="C99" s="2">
        <v>570</v>
      </c>
      <c r="D99" s="3">
        <f t="shared" si="2"/>
        <v>0.25154457193292146</v>
      </c>
      <c r="E99" s="2">
        <v>129</v>
      </c>
      <c r="F99" s="3">
        <f t="shared" si="3"/>
        <v>0.22631578947368422</v>
      </c>
      <c r="G99" s="2"/>
    </row>
    <row r="100" spans="1:7" x14ac:dyDescent="0.25">
      <c r="A100" t="s">
        <v>105</v>
      </c>
      <c r="B100" s="2">
        <v>313</v>
      </c>
      <c r="C100" s="2">
        <v>123</v>
      </c>
      <c r="D100" s="3">
        <f t="shared" si="2"/>
        <v>0.39297124600638977</v>
      </c>
      <c r="E100" s="2">
        <v>14</v>
      </c>
      <c r="F100" s="3">
        <f t="shared" si="3"/>
        <v>0.11382113821138211</v>
      </c>
      <c r="G100" s="2"/>
    </row>
    <row r="101" spans="1:7" x14ac:dyDescent="0.25">
      <c r="A101" t="s">
        <v>106</v>
      </c>
      <c r="B101" s="2">
        <v>845</v>
      </c>
      <c r="C101" s="2">
        <v>120</v>
      </c>
      <c r="D101" s="3">
        <f t="shared" si="2"/>
        <v>0.14201183431952663</v>
      </c>
      <c r="E101" s="2">
        <v>0</v>
      </c>
      <c r="F101" s="3">
        <f t="shared" si="3"/>
        <v>0</v>
      </c>
      <c r="G101" s="2"/>
    </row>
    <row r="102" spans="1:7" x14ac:dyDescent="0.25">
      <c r="A102" t="s">
        <v>107</v>
      </c>
      <c r="B102" s="2">
        <v>491</v>
      </c>
      <c r="C102" s="2">
        <v>190</v>
      </c>
      <c r="D102" s="3">
        <f t="shared" si="2"/>
        <v>0.38696537678207737</v>
      </c>
      <c r="E102" s="2">
        <v>55</v>
      </c>
      <c r="F102" s="3">
        <f t="shared" si="3"/>
        <v>0.28947368421052633</v>
      </c>
      <c r="G102" s="2"/>
    </row>
    <row r="103" spans="1:7" x14ac:dyDescent="0.25">
      <c r="A103" t="s">
        <v>108</v>
      </c>
      <c r="B103" s="2">
        <v>789</v>
      </c>
      <c r="C103" s="2">
        <v>82</v>
      </c>
      <c r="D103" s="3">
        <f t="shared" si="2"/>
        <v>0.10392902408111533</v>
      </c>
      <c r="E103" s="2">
        <v>0</v>
      </c>
      <c r="F103" s="3">
        <f t="shared" si="3"/>
        <v>0</v>
      </c>
      <c r="G103" s="2"/>
    </row>
    <row r="104" spans="1:7" x14ac:dyDescent="0.25">
      <c r="A104" t="s">
        <v>109</v>
      </c>
      <c r="B104" s="2">
        <v>431</v>
      </c>
      <c r="C104" s="2">
        <v>30</v>
      </c>
      <c r="D104" s="3">
        <f t="shared" si="2"/>
        <v>6.9605568445475635E-2</v>
      </c>
      <c r="E104" s="2">
        <v>0</v>
      </c>
      <c r="F104" s="3">
        <f t="shared" si="3"/>
        <v>0</v>
      </c>
      <c r="G104" s="2"/>
    </row>
    <row r="105" spans="1:7" x14ac:dyDescent="0.25">
      <c r="A105" t="s">
        <v>110</v>
      </c>
      <c r="B105" s="2">
        <v>4401</v>
      </c>
      <c r="C105" s="2">
        <v>1430</v>
      </c>
      <c r="D105" s="3">
        <f t="shared" si="2"/>
        <v>0.32492615314701206</v>
      </c>
      <c r="E105" s="2">
        <v>342</v>
      </c>
      <c r="F105" s="3">
        <f t="shared" si="3"/>
        <v>0.23916083916083916</v>
      </c>
      <c r="G105" s="2"/>
    </row>
    <row r="106" spans="1:7" x14ac:dyDescent="0.25">
      <c r="A106" t="s">
        <v>111</v>
      </c>
      <c r="B106" s="2">
        <v>1995</v>
      </c>
      <c r="C106" s="2">
        <v>469</v>
      </c>
      <c r="D106" s="3">
        <f t="shared" si="2"/>
        <v>0.23508771929824562</v>
      </c>
      <c r="E106" s="2">
        <v>60</v>
      </c>
      <c r="F106" s="3">
        <f t="shared" si="3"/>
        <v>0.1279317697228145</v>
      </c>
      <c r="G106" s="2"/>
    </row>
    <row r="107" spans="1:7" x14ac:dyDescent="0.25">
      <c r="A107" t="s">
        <v>112</v>
      </c>
      <c r="B107" s="2">
        <v>1095</v>
      </c>
      <c r="C107" s="2">
        <v>469</v>
      </c>
      <c r="D107" s="3">
        <f t="shared" si="2"/>
        <v>0.42831050228310502</v>
      </c>
      <c r="E107" s="2">
        <v>60</v>
      </c>
      <c r="F107" s="3">
        <f t="shared" si="3"/>
        <v>0.1279317697228145</v>
      </c>
      <c r="G107" s="2"/>
    </row>
    <row r="108" spans="1:7" x14ac:dyDescent="0.25">
      <c r="A108" t="s">
        <v>113</v>
      </c>
      <c r="B108" s="2">
        <v>407</v>
      </c>
      <c r="C108" s="2">
        <v>55</v>
      </c>
      <c r="D108" s="3">
        <f t="shared" si="2"/>
        <v>0.13513513513513514</v>
      </c>
      <c r="E108" s="2">
        <v>0</v>
      </c>
      <c r="F108" s="3">
        <f t="shared" si="3"/>
        <v>0</v>
      </c>
      <c r="G108" s="2"/>
    </row>
    <row r="109" spans="1:7" x14ac:dyDescent="0.25">
      <c r="A109" t="s">
        <v>114</v>
      </c>
      <c r="B109" s="2">
        <v>127</v>
      </c>
      <c r="C109" s="2">
        <v>40</v>
      </c>
      <c r="D109" s="3">
        <f t="shared" si="2"/>
        <v>0.31496062992125984</v>
      </c>
      <c r="E109" s="2">
        <v>0</v>
      </c>
      <c r="F109" s="3">
        <f t="shared" si="3"/>
        <v>0</v>
      </c>
      <c r="G109" s="2"/>
    </row>
    <row r="110" spans="1:7" x14ac:dyDescent="0.25">
      <c r="A110" t="s">
        <v>115</v>
      </c>
      <c r="B110" s="2">
        <v>755</v>
      </c>
      <c r="C110" s="2">
        <v>245</v>
      </c>
      <c r="D110" s="3">
        <f t="shared" si="2"/>
        <v>0.32450331125827814</v>
      </c>
      <c r="E110" s="2">
        <v>20</v>
      </c>
      <c r="F110" s="3">
        <f t="shared" si="3"/>
        <v>8.1632653061224483E-2</v>
      </c>
      <c r="G110" s="2"/>
    </row>
    <row r="111" spans="1:7" x14ac:dyDescent="0.25">
      <c r="A111" t="s">
        <v>116</v>
      </c>
      <c r="B111" s="2">
        <v>68</v>
      </c>
      <c r="C111" s="2">
        <v>18</v>
      </c>
      <c r="D111" s="3">
        <f t="shared" si="2"/>
        <v>0.26470588235294118</v>
      </c>
      <c r="E111" s="2">
        <v>0</v>
      </c>
      <c r="F111" s="3">
        <f t="shared" si="3"/>
        <v>0</v>
      </c>
      <c r="G111" s="2"/>
    </row>
    <row r="112" spans="1:7" x14ac:dyDescent="0.25">
      <c r="A112" t="s">
        <v>117</v>
      </c>
      <c r="B112" s="2">
        <v>1152</v>
      </c>
      <c r="C112" s="2">
        <v>495</v>
      </c>
      <c r="D112" s="3">
        <f t="shared" si="2"/>
        <v>0.4296875</v>
      </c>
      <c r="E112" s="2">
        <v>58</v>
      </c>
      <c r="F112" s="3">
        <f t="shared" si="3"/>
        <v>0.11717171717171718</v>
      </c>
      <c r="G112" s="2"/>
    </row>
    <row r="113" spans="1:7" x14ac:dyDescent="0.25">
      <c r="A113" t="s">
        <v>118</v>
      </c>
      <c r="B113" s="2">
        <v>1599</v>
      </c>
      <c r="C113" s="2">
        <v>150</v>
      </c>
      <c r="D113" s="3">
        <f t="shared" si="2"/>
        <v>9.3808630393996242E-2</v>
      </c>
      <c r="E113" s="2">
        <v>0</v>
      </c>
      <c r="F113" s="3">
        <f t="shared" si="3"/>
        <v>0</v>
      </c>
      <c r="G113" s="2"/>
    </row>
    <row r="114" spans="1:7" s="9" customFormat="1" x14ac:dyDescent="0.25">
      <c r="A114" s="9" t="s">
        <v>119</v>
      </c>
      <c r="B114" s="10">
        <v>767</v>
      </c>
      <c r="C114" s="10">
        <v>115</v>
      </c>
      <c r="D114" s="11">
        <f t="shared" si="2"/>
        <v>0.14993481095176012</v>
      </c>
      <c r="E114" s="10">
        <v>0</v>
      </c>
      <c r="F114" s="11">
        <f t="shared" si="3"/>
        <v>0</v>
      </c>
      <c r="G114" s="10"/>
    </row>
    <row r="115" spans="1:7" x14ac:dyDescent="0.25">
      <c r="A115" t="s">
        <v>120</v>
      </c>
      <c r="B115" s="2">
        <v>1687</v>
      </c>
      <c r="C115" s="2">
        <v>556</v>
      </c>
      <c r="D115" s="3">
        <f t="shared" si="2"/>
        <v>0.32957913455838767</v>
      </c>
      <c r="E115" s="2">
        <v>72</v>
      </c>
      <c r="F115" s="3">
        <f t="shared" si="3"/>
        <v>0.12949640287769784</v>
      </c>
      <c r="G115" s="2"/>
    </row>
    <row r="116" spans="1:7" x14ac:dyDescent="0.25">
      <c r="A116" t="s">
        <v>121</v>
      </c>
      <c r="B116" s="2">
        <v>1207</v>
      </c>
      <c r="C116" s="2">
        <v>50</v>
      </c>
      <c r="D116" s="3">
        <f t="shared" si="2"/>
        <v>4.1425020712510356E-2</v>
      </c>
      <c r="E116" s="2">
        <v>0</v>
      </c>
      <c r="F116" s="3">
        <f t="shared" si="3"/>
        <v>0</v>
      </c>
      <c r="G116" s="2"/>
    </row>
    <row r="117" spans="1:7" x14ac:dyDescent="0.25">
      <c r="A117" t="s">
        <v>122</v>
      </c>
      <c r="B117" s="2">
        <v>3652</v>
      </c>
      <c r="C117" s="2">
        <v>721</v>
      </c>
      <c r="D117" s="3">
        <f t="shared" si="2"/>
        <v>0.19742606790799561</v>
      </c>
      <c r="E117" s="2">
        <v>68</v>
      </c>
      <c r="F117" s="3">
        <f t="shared" si="3"/>
        <v>9.4313453536754507E-2</v>
      </c>
      <c r="G117" s="2"/>
    </row>
    <row r="118" spans="1:7" x14ac:dyDescent="0.25">
      <c r="A118" t="s">
        <v>123</v>
      </c>
      <c r="B118" s="2">
        <v>161</v>
      </c>
      <c r="C118" s="2">
        <v>74</v>
      </c>
      <c r="D118" s="3">
        <f t="shared" si="2"/>
        <v>0.45962732919254656</v>
      </c>
      <c r="E118" s="2">
        <v>27</v>
      </c>
      <c r="F118" s="3">
        <f t="shared" si="3"/>
        <v>0.36486486486486486</v>
      </c>
      <c r="G118" s="2"/>
    </row>
    <row r="119" spans="1:7" x14ac:dyDescent="0.25">
      <c r="A119" t="s">
        <v>124</v>
      </c>
      <c r="B119" s="2">
        <v>3785</v>
      </c>
      <c r="C119" s="2">
        <v>1277</v>
      </c>
      <c r="D119" s="3">
        <f t="shared" si="2"/>
        <v>0.33738441215323645</v>
      </c>
      <c r="E119" s="2">
        <v>412</v>
      </c>
      <c r="F119" s="3">
        <f t="shared" si="3"/>
        <v>0.3226311667971809</v>
      </c>
      <c r="G119" s="2"/>
    </row>
    <row r="120" spans="1:7" x14ac:dyDescent="0.25">
      <c r="A120" t="s">
        <v>125</v>
      </c>
      <c r="B120" s="2">
        <v>722</v>
      </c>
      <c r="C120" s="2">
        <v>404</v>
      </c>
      <c r="D120" s="3">
        <f t="shared" si="2"/>
        <v>0.55955678670360109</v>
      </c>
      <c r="E120" s="2">
        <v>404</v>
      </c>
      <c r="F120" s="3">
        <f t="shared" si="3"/>
        <v>1</v>
      </c>
      <c r="G120" s="2" t="s">
        <v>31</v>
      </c>
    </row>
    <row r="121" spans="1:7" x14ac:dyDescent="0.25">
      <c r="A121" t="s">
        <v>126</v>
      </c>
      <c r="B121" s="2">
        <v>1212</v>
      </c>
      <c r="C121" s="2">
        <v>145</v>
      </c>
      <c r="D121" s="3">
        <f t="shared" si="2"/>
        <v>0.11963696369636964</v>
      </c>
      <c r="E121" s="2">
        <v>0</v>
      </c>
      <c r="F121" s="3">
        <f t="shared" si="3"/>
        <v>0</v>
      </c>
      <c r="G121" s="2"/>
    </row>
    <row r="122" spans="1:7" x14ac:dyDescent="0.25">
      <c r="A122" t="s">
        <v>127</v>
      </c>
      <c r="B122" s="2">
        <v>968</v>
      </c>
      <c r="C122" s="2">
        <v>397</v>
      </c>
      <c r="D122" s="3">
        <f t="shared" si="2"/>
        <v>0.41012396694214875</v>
      </c>
      <c r="E122" s="2">
        <v>42</v>
      </c>
      <c r="F122" s="3">
        <f t="shared" si="3"/>
        <v>0.10579345088161209</v>
      </c>
      <c r="G122" s="2"/>
    </row>
    <row r="123" spans="1:7" x14ac:dyDescent="0.25">
      <c r="A123" t="s">
        <v>128</v>
      </c>
      <c r="B123" s="2">
        <v>5850</v>
      </c>
      <c r="C123" s="2">
        <v>1639</v>
      </c>
      <c r="D123" s="3">
        <f t="shared" si="2"/>
        <v>0.28017094017094019</v>
      </c>
      <c r="E123" s="2">
        <v>343</v>
      </c>
      <c r="F123" s="3">
        <f t="shared" si="3"/>
        <v>0.2092739475289811</v>
      </c>
      <c r="G123" s="2"/>
    </row>
    <row r="124" spans="1:7" x14ac:dyDescent="0.25">
      <c r="A124" t="s">
        <v>129</v>
      </c>
      <c r="B124" s="2">
        <v>1464</v>
      </c>
      <c r="C124" s="2">
        <v>508</v>
      </c>
      <c r="D124" s="3">
        <f t="shared" si="2"/>
        <v>0.34699453551912568</v>
      </c>
      <c r="E124" s="2">
        <v>65</v>
      </c>
      <c r="F124" s="3">
        <f t="shared" si="3"/>
        <v>0.12795275590551181</v>
      </c>
      <c r="G124" s="2"/>
    </row>
    <row r="125" spans="1:7" x14ac:dyDescent="0.25">
      <c r="A125" t="s">
        <v>130</v>
      </c>
      <c r="B125" s="2">
        <v>707</v>
      </c>
      <c r="C125" s="2">
        <v>383</v>
      </c>
      <c r="D125" s="3">
        <f t="shared" si="2"/>
        <v>0.54172560113154178</v>
      </c>
      <c r="E125" s="2">
        <v>82</v>
      </c>
      <c r="F125" s="3">
        <f t="shared" si="3"/>
        <v>0.21409921671018275</v>
      </c>
      <c r="G125" s="2"/>
    </row>
    <row r="126" spans="1:7" x14ac:dyDescent="0.25">
      <c r="A126" t="s">
        <v>131</v>
      </c>
      <c r="B126" s="2">
        <v>8493</v>
      </c>
      <c r="C126" s="2">
        <v>2997</v>
      </c>
      <c r="D126" s="3">
        <f t="shared" si="2"/>
        <v>0.35287884139879899</v>
      </c>
      <c r="E126" s="2">
        <v>883</v>
      </c>
      <c r="F126" s="3">
        <f t="shared" si="3"/>
        <v>0.29462796129462798</v>
      </c>
      <c r="G126" s="2"/>
    </row>
    <row r="127" spans="1:7" x14ac:dyDescent="0.25">
      <c r="A127" t="s">
        <v>132</v>
      </c>
      <c r="B127" s="2">
        <v>1828</v>
      </c>
      <c r="C127" s="2">
        <v>130</v>
      </c>
      <c r="D127" s="3">
        <f t="shared" si="2"/>
        <v>7.1115973741794306E-2</v>
      </c>
      <c r="E127" s="2">
        <v>60</v>
      </c>
      <c r="F127" s="3">
        <f t="shared" si="3"/>
        <v>0.46153846153846156</v>
      </c>
      <c r="G127" s="2"/>
    </row>
    <row r="128" spans="1:7" x14ac:dyDescent="0.25">
      <c r="A128" t="s">
        <v>133</v>
      </c>
      <c r="B128" s="2">
        <v>955</v>
      </c>
      <c r="C128" s="2">
        <v>77</v>
      </c>
      <c r="D128" s="3">
        <f t="shared" si="2"/>
        <v>8.0628272251308905E-2</v>
      </c>
      <c r="E128" s="2">
        <v>0</v>
      </c>
      <c r="F128" s="3">
        <f t="shared" si="3"/>
        <v>0</v>
      </c>
      <c r="G128" s="2"/>
    </row>
    <row r="129" spans="1:7" x14ac:dyDescent="0.25">
      <c r="A129" t="s">
        <v>134</v>
      </c>
      <c r="B129" s="2">
        <v>6706</v>
      </c>
      <c r="C129" s="2">
        <v>2721</v>
      </c>
      <c r="D129" s="3">
        <f t="shared" si="2"/>
        <v>0.40575603936773041</v>
      </c>
      <c r="E129" s="2">
        <v>694</v>
      </c>
      <c r="F129" s="3">
        <f t="shared" si="3"/>
        <v>0.25505328923190002</v>
      </c>
      <c r="G129" s="2"/>
    </row>
    <row r="130" spans="1:7" x14ac:dyDescent="0.25">
      <c r="A130" t="s">
        <v>135</v>
      </c>
      <c r="B130" s="2">
        <v>1477</v>
      </c>
      <c r="C130" s="2">
        <v>538</v>
      </c>
      <c r="D130" s="3">
        <f t="shared" si="2"/>
        <v>0.36425186188219366</v>
      </c>
      <c r="E130" s="2">
        <v>105</v>
      </c>
      <c r="F130" s="3">
        <f t="shared" si="3"/>
        <v>0.19516728624535315</v>
      </c>
      <c r="G130" s="2"/>
    </row>
    <row r="131" spans="1:7" x14ac:dyDescent="0.25">
      <c r="A131" t="s">
        <v>136</v>
      </c>
      <c r="B131" s="2">
        <v>552</v>
      </c>
      <c r="C131" s="2">
        <v>43</v>
      </c>
      <c r="D131" s="3">
        <f t="shared" si="2"/>
        <v>7.789855072463768E-2</v>
      </c>
      <c r="E131" s="2">
        <v>0</v>
      </c>
      <c r="F131" s="3">
        <f t="shared" si="3"/>
        <v>0</v>
      </c>
      <c r="G131" s="2"/>
    </row>
    <row r="132" spans="1:7" x14ac:dyDescent="0.25">
      <c r="A132" t="s">
        <v>137</v>
      </c>
      <c r="B132" s="2">
        <v>4217</v>
      </c>
      <c r="C132" s="2">
        <v>1699</v>
      </c>
      <c r="D132" s="3">
        <f t="shared" ref="D132:D195" si="4">C132/B132</f>
        <v>0.40289305193265357</v>
      </c>
      <c r="E132" s="2">
        <v>1282</v>
      </c>
      <c r="F132" s="3">
        <f t="shared" ref="F132:F195" si="5">E132/C132</f>
        <v>0.7545615067686875</v>
      </c>
      <c r="G132" s="2" t="s">
        <v>31</v>
      </c>
    </row>
    <row r="133" spans="1:7" x14ac:dyDescent="0.25">
      <c r="A133" t="s">
        <v>138</v>
      </c>
      <c r="B133" s="2">
        <v>1074</v>
      </c>
      <c r="C133" s="2">
        <v>493</v>
      </c>
      <c r="D133" s="3">
        <f t="shared" si="4"/>
        <v>0.45903165735567969</v>
      </c>
      <c r="E133" s="2">
        <v>108</v>
      </c>
      <c r="F133" s="3">
        <f t="shared" si="5"/>
        <v>0.21906693711967545</v>
      </c>
      <c r="G133" s="2"/>
    </row>
    <row r="134" spans="1:7" x14ac:dyDescent="0.25">
      <c r="A134" t="s">
        <v>139</v>
      </c>
      <c r="B134" s="2">
        <v>143</v>
      </c>
      <c r="C134" s="2">
        <v>53</v>
      </c>
      <c r="D134" s="3">
        <f t="shared" si="4"/>
        <v>0.37062937062937062</v>
      </c>
      <c r="E134" s="2">
        <v>2</v>
      </c>
      <c r="F134" s="3">
        <f t="shared" si="5"/>
        <v>3.7735849056603772E-2</v>
      </c>
      <c r="G134" s="2"/>
    </row>
    <row r="135" spans="1:7" x14ac:dyDescent="0.25">
      <c r="A135" t="s">
        <v>140</v>
      </c>
      <c r="B135" s="2">
        <v>1321</v>
      </c>
      <c r="C135" s="2">
        <v>553</v>
      </c>
      <c r="D135" s="3">
        <f t="shared" si="4"/>
        <v>0.4186222558667676</v>
      </c>
      <c r="E135" s="2">
        <v>66</v>
      </c>
      <c r="F135" s="3">
        <f t="shared" si="5"/>
        <v>0.11934900542495479</v>
      </c>
      <c r="G135" s="2"/>
    </row>
    <row r="136" spans="1:7" x14ac:dyDescent="0.25">
      <c r="A136" t="s">
        <v>141</v>
      </c>
      <c r="B136" s="2">
        <v>475</v>
      </c>
      <c r="C136" s="2">
        <v>90</v>
      </c>
      <c r="D136" s="3">
        <f t="shared" si="4"/>
        <v>0.18947368421052632</v>
      </c>
      <c r="E136" s="2">
        <v>0</v>
      </c>
      <c r="F136" s="3">
        <f t="shared" si="5"/>
        <v>0</v>
      </c>
      <c r="G136" s="2"/>
    </row>
    <row r="137" spans="1:7" x14ac:dyDescent="0.25">
      <c r="A137" t="s">
        <v>142</v>
      </c>
      <c r="B137" s="2">
        <v>1565</v>
      </c>
      <c r="C137" s="2">
        <v>416</v>
      </c>
      <c r="D137" s="3">
        <f t="shared" si="4"/>
        <v>0.265814696485623</v>
      </c>
      <c r="E137" s="2">
        <v>82</v>
      </c>
      <c r="F137" s="3">
        <f t="shared" si="5"/>
        <v>0.19711538461538461</v>
      </c>
      <c r="G137" s="2"/>
    </row>
    <row r="138" spans="1:7" x14ac:dyDescent="0.25">
      <c r="A138" t="s">
        <v>143</v>
      </c>
      <c r="B138" s="2">
        <v>1406</v>
      </c>
      <c r="C138" s="2">
        <v>284</v>
      </c>
      <c r="D138" s="3">
        <f t="shared" si="4"/>
        <v>0.20199146514935989</v>
      </c>
      <c r="E138" s="2">
        <v>45</v>
      </c>
      <c r="F138" s="3">
        <f t="shared" si="5"/>
        <v>0.15845070422535212</v>
      </c>
      <c r="G138" s="2"/>
    </row>
    <row r="139" spans="1:7" x14ac:dyDescent="0.25">
      <c r="A139" t="s">
        <v>144</v>
      </c>
      <c r="B139" s="2">
        <v>3844</v>
      </c>
      <c r="C139" s="2">
        <v>815</v>
      </c>
      <c r="D139" s="3">
        <f t="shared" si="4"/>
        <v>0.21201873048907388</v>
      </c>
      <c r="E139" s="2">
        <v>89</v>
      </c>
      <c r="F139" s="3">
        <f t="shared" si="5"/>
        <v>0.10920245398773006</v>
      </c>
      <c r="G139" s="2"/>
    </row>
    <row r="140" spans="1:7" x14ac:dyDescent="0.25">
      <c r="A140" t="s">
        <v>145</v>
      </c>
      <c r="B140" s="2">
        <v>1168</v>
      </c>
      <c r="C140" s="2">
        <v>52</v>
      </c>
      <c r="D140" s="3">
        <f t="shared" si="4"/>
        <v>4.4520547945205477E-2</v>
      </c>
      <c r="E140" s="2">
        <v>0</v>
      </c>
      <c r="F140" s="3">
        <f t="shared" si="5"/>
        <v>0</v>
      </c>
      <c r="G140" s="2"/>
    </row>
    <row r="141" spans="1:7" x14ac:dyDescent="0.25">
      <c r="A141" t="s">
        <v>146</v>
      </c>
      <c r="B141" s="2">
        <v>922</v>
      </c>
      <c r="C141" s="2">
        <v>452</v>
      </c>
      <c r="D141" s="3">
        <f t="shared" si="4"/>
        <v>0.49023861171366595</v>
      </c>
      <c r="E141" s="2">
        <v>95</v>
      </c>
      <c r="F141" s="3">
        <f t="shared" si="5"/>
        <v>0.21017699115044247</v>
      </c>
      <c r="G141" s="2"/>
    </row>
    <row r="142" spans="1:7" x14ac:dyDescent="0.25">
      <c r="A142" t="s">
        <v>147</v>
      </c>
      <c r="B142" s="2">
        <v>3200</v>
      </c>
      <c r="C142" s="2">
        <v>981</v>
      </c>
      <c r="D142" s="3">
        <f t="shared" si="4"/>
        <v>0.30656250000000002</v>
      </c>
      <c r="E142" s="2">
        <v>177</v>
      </c>
      <c r="F142" s="3">
        <f t="shared" si="5"/>
        <v>0.18042813455657492</v>
      </c>
      <c r="G142" s="2"/>
    </row>
    <row r="143" spans="1:7" x14ac:dyDescent="0.25">
      <c r="A143" t="s">
        <v>148</v>
      </c>
      <c r="B143" s="2">
        <v>137</v>
      </c>
      <c r="C143" s="2">
        <v>55</v>
      </c>
      <c r="D143" s="3">
        <f t="shared" si="4"/>
        <v>0.40145985401459855</v>
      </c>
      <c r="E143" s="2">
        <v>3</v>
      </c>
      <c r="F143" s="3">
        <f t="shared" si="5"/>
        <v>5.4545454545454543E-2</v>
      </c>
      <c r="G143" s="2"/>
    </row>
    <row r="144" spans="1:7" x14ac:dyDescent="0.25">
      <c r="A144" t="s">
        <v>149</v>
      </c>
      <c r="B144" s="2">
        <v>3133</v>
      </c>
      <c r="C144" s="2">
        <v>1259</v>
      </c>
      <c r="D144" s="3">
        <f t="shared" si="4"/>
        <v>0.40185126077242261</v>
      </c>
      <c r="E144" s="2">
        <v>219</v>
      </c>
      <c r="F144" s="3">
        <f t="shared" si="5"/>
        <v>0.17394757744241462</v>
      </c>
      <c r="G144" s="2"/>
    </row>
    <row r="145" spans="1:8" x14ac:dyDescent="0.25">
      <c r="A145" t="s">
        <v>150</v>
      </c>
      <c r="B145" s="2">
        <v>875</v>
      </c>
      <c r="C145" s="2">
        <v>157</v>
      </c>
      <c r="D145" s="3">
        <f t="shared" si="4"/>
        <v>0.17942857142857144</v>
      </c>
      <c r="E145" s="2">
        <v>0</v>
      </c>
      <c r="F145" s="3">
        <f t="shared" si="5"/>
        <v>0</v>
      </c>
      <c r="G145" s="2"/>
    </row>
    <row r="146" spans="1:8" ht="15.75" x14ac:dyDescent="0.25">
      <c r="A146" t="s">
        <v>151</v>
      </c>
      <c r="B146" s="2">
        <v>932</v>
      </c>
      <c r="C146" s="2">
        <v>376</v>
      </c>
      <c r="D146" s="3">
        <f t="shared" si="4"/>
        <v>0.40343347639484978</v>
      </c>
      <c r="E146" s="2">
        <v>46</v>
      </c>
      <c r="F146" s="3">
        <f t="shared" si="5"/>
        <v>0.12234042553191489</v>
      </c>
      <c r="G146" s="2"/>
      <c r="H146" s="12"/>
    </row>
    <row r="147" spans="1:8" x14ac:dyDescent="0.25">
      <c r="A147" t="s">
        <v>152</v>
      </c>
      <c r="B147" s="2">
        <v>541</v>
      </c>
      <c r="C147" s="2">
        <v>210</v>
      </c>
      <c r="D147" s="3">
        <f t="shared" si="4"/>
        <v>0.38817005545286504</v>
      </c>
      <c r="E147" s="2">
        <v>20</v>
      </c>
      <c r="F147" s="3">
        <f t="shared" si="5"/>
        <v>9.5238095238095233E-2</v>
      </c>
      <c r="G147" s="2"/>
    </row>
    <row r="148" spans="1:8" x14ac:dyDescent="0.25">
      <c r="A148" t="s">
        <v>153</v>
      </c>
      <c r="B148" s="2">
        <v>1196</v>
      </c>
      <c r="C148" s="2">
        <v>409</v>
      </c>
      <c r="D148" s="3">
        <f t="shared" si="4"/>
        <v>0.34197324414715718</v>
      </c>
      <c r="E148" s="2">
        <v>68</v>
      </c>
      <c r="F148" s="3">
        <f t="shared" si="5"/>
        <v>0.16625916870415647</v>
      </c>
      <c r="G148" s="2"/>
    </row>
    <row r="149" spans="1:8" x14ac:dyDescent="0.25">
      <c r="A149" t="s">
        <v>154</v>
      </c>
      <c r="B149" s="2">
        <v>685</v>
      </c>
      <c r="C149" s="2">
        <v>97</v>
      </c>
      <c r="D149" s="3">
        <f t="shared" si="4"/>
        <v>0.14160583941605839</v>
      </c>
      <c r="E149" s="2">
        <v>0</v>
      </c>
      <c r="F149" s="3">
        <f t="shared" si="5"/>
        <v>0</v>
      </c>
      <c r="G149" s="2"/>
    </row>
    <row r="150" spans="1:8" s="9" customFormat="1" x14ac:dyDescent="0.25">
      <c r="A150" s="9" t="s">
        <v>155</v>
      </c>
      <c r="B150" s="10">
        <v>378</v>
      </c>
      <c r="C150" s="10">
        <v>53</v>
      </c>
      <c r="D150" s="11">
        <f t="shared" si="4"/>
        <v>0.1402116402116402</v>
      </c>
      <c r="E150" s="10">
        <v>0</v>
      </c>
      <c r="F150" s="11">
        <f t="shared" si="5"/>
        <v>0</v>
      </c>
      <c r="G150" s="10"/>
    </row>
    <row r="151" spans="1:8" x14ac:dyDescent="0.25">
      <c r="A151" t="s">
        <v>156</v>
      </c>
      <c r="B151" s="2">
        <v>439</v>
      </c>
      <c r="C151" s="2">
        <v>51</v>
      </c>
      <c r="D151" s="3">
        <f t="shared" si="4"/>
        <v>0.11617312072892938</v>
      </c>
      <c r="E151" s="2">
        <v>0</v>
      </c>
      <c r="F151" s="3">
        <f t="shared" si="5"/>
        <v>0</v>
      </c>
      <c r="G151" s="2"/>
    </row>
    <row r="152" spans="1:8" s="9" customFormat="1" x14ac:dyDescent="0.25">
      <c r="A152" s="9" t="s">
        <v>157</v>
      </c>
      <c r="B152" s="10">
        <v>2261</v>
      </c>
      <c r="C152" s="10">
        <v>90</v>
      </c>
      <c r="D152" s="11">
        <f t="shared" si="4"/>
        <v>3.9805395842547546E-2</v>
      </c>
      <c r="E152" s="10">
        <v>0</v>
      </c>
      <c r="F152" s="11">
        <f t="shared" si="5"/>
        <v>0</v>
      </c>
      <c r="G152" s="10"/>
    </row>
    <row r="153" spans="1:8" x14ac:dyDescent="0.25">
      <c r="A153" t="s">
        <v>158</v>
      </c>
      <c r="B153" s="2">
        <v>1098</v>
      </c>
      <c r="C153" s="2">
        <v>59</v>
      </c>
      <c r="D153" s="3">
        <f t="shared" si="4"/>
        <v>5.3734061930783242E-2</v>
      </c>
      <c r="E153" s="2">
        <v>59</v>
      </c>
      <c r="F153" s="3">
        <f t="shared" si="5"/>
        <v>1</v>
      </c>
      <c r="G153" s="2"/>
    </row>
    <row r="154" spans="1:8" x14ac:dyDescent="0.25">
      <c r="A154" t="s">
        <v>159</v>
      </c>
      <c r="B154" s="2">
        <v>439</v>
      </c>
      <c r="C154" s="2">
        <v>213</v>
      </c>
      <c r="D154" s="3">
        <f t="shared" si="4"/>
        <v>0.48519362186788156</v>
      </c>
      <c r="E154" s="2">
        <v>23</v>
      </c>
      <c r="F154" s="3">
        <f t="shared" si="5"/>
        <v>0.107981220657277</v>
      </c>
      <c r="G154" s="2"/>
    </row>
    <row r="155" spans="1:8" x14ac:dyDescent="0.25">
      <c r="A155" t="s">
        <v>160</v>
      </c>
      <c r="B155" s="2">
        <v>779</v>
      </c>
      <c r="C155" s="2">
        <v>436</v>
      </c>
      <c r="D155" s="3">
        <f t="shared" si="4"/>
        <v>0.55969191270860075</v>
      </c>
      <c r="E155" s="2">
        <v>179</v>
      </c>
      <c r="F155" s="3">
        <f t="shared" si="5"/>
        <v>0.41055045871559631</v>
      </c>
      <c r="G155" s="2"/>
    </row>
    <row r="156" spans="1:8" x14ac:dyDescent="0.25">
      <c r="A156" t="s">
        <v>161</v>
      </c>
      <c r="B156" s="2">
        <v>2236</v>
      </c>
      <c r="C156" s="2">
        <v>666</v>
      </c>
      <c r="D156" s="3">
        <f t="shared" si="4"/>
        <v>0.29785330948121647</v>
      </c>
      <c r="E156" s="2">
        <v>61</v>
      </c>
      <c r="F156" s="3">
        <f t="shared" si="5"/>
        <v>9.1591591591591595E-2</v>
      </c>
      <c r="G156" s="2"/>
    </row>
    <row r="157" spans="1:8" x14ac:dyDescent="0.25">
      <c r="A157" t="s">
        <v>162</v>
      </c>
      <c r="B157" s="2">
        <v>2417</v>
      </c>
      <c r="C157" s="2">
        <v>736</v>
      </c>
      <c r="D157" s="3">
        <f t="shared" si="4"/>
        <v>0.30450972279685562</v>
      </c>
      <c r="E157" s="2">
        <v>236</v>
      </c>
      <c r="F157" s="3">
        <f t="shared" si="5"/>
        <v>0.32065217391304346</v>
      </c>
      <c r="G157" s="2"/>
    </row>
    <row r="158" spans="1:8" x14ac:dyDescent="0.25">
      <c r="A158" t="s">
        <v>163</v>
      </c>
      <c r="B158" s="2">
        <v>1192</v>
      </c>
      <c r="C158" s="2">
        <v>302</v>
      </c>
      <c r="D158" s="3">
        <f t="shared" si="4"/>
        <v>0.25335570469798657</v>
      </c>
      <c r="E158" s="2">
        <v>29</v>
      </c>
      <c r="F158" s="3">
        <f t="shared" si="5"/>
        <v>9.602649006622517E-2</v>
      </c>
      <c r="G158" s="2"/>
    </row>
    <row r="159" spans="1:8" x14ac:dyDescent="0.25">
      <c r="A159" t="s">
        <v>164</v>
      </c>
      <c r="B159" s="2">
        <v>1999</v>
      </c>
      <c r="C159" s="2">
        <v>562</v>
      </c>
      <c r="D159" s="3">
        <f t="shared" si="4"/>
        <v>0.28114057028514255</v>
      </c>
      <c r="E159" s="2">
        <v>125</v>
      </c>
      <c r="F159" s="3">
        <f t="shared" si="5"/>
        <v>0.22241992882562278</v>
      </c>
      <c r="G159" s="2"/>
    </row>
    <row r="160" spans="1:8" x14ac:dyDescent="0.25">
      <c r="A160" t="s">
        <v>165</v>
      </c>
      <c r="B160" s="2">
        <v>3712</v>
      </c>
      <c r="C160" s="2">
        <v>1059</v>
      </c>
      <c r="D160" s="3">
        <f t="shared" si="4"/>
        <v>0.28529094827586204</v>
      </c>
      <c r="E160" s="2">
        <v>200</v>
      </c>
      <c r="F160" s="3">
        <f t="shared" si="5"/>
        <v>0.18885741265344666</v>
      </c>
      <c r="G160" s="2"/>
    </row>
    <row r="161" spans="1:7" x14ac:dyDescent="0.25">
      <c r="A161" t="s">
        <v>166</v>
      </c>
      <c r="B161" s="2">
        <v>515</v>
      </c>
      <c r="C161" s="2">
        <v>303</v>
      </c>
      <c r="D161" s="3">
        <f t="shared" si="4"/>
        <v>0.5883495145631068</v>
      </c>
      <c r="E161" s="2">
        <v>53</v>
      </c>
      <c r="F161" s="3">
        <f t="shared" si="5"/>
        <v>0.17491749174917492</v>
      </c>
      <c r="G161" s="2"/>
    </row>
    <row r="162" spans="1:7" x14ac:dyDescent="0.25">
      <c r="A162" t="s">
        <v>167</v>
      </c>
      <c r="B162" s="2">
        <v>585</v>
      </c>
      <c r="C162" s="2">
        <v>170</v>
      </c>
      <c r="D162" s="3">
        <f t="shared" si="4"/>
        <v>0.29059829059829062</v>
      </c>
      <c r="E162" s="2">
        <v>17</v>
      </c>
      <c r="F162" s="3">
        <f t="shared" si="5"/>
        <v>0.1</v>
      </c>
      <c r="G162" s="2"/>
    </row>
    <row r="163" spans="1:7" x14ac:dyDescent="0.25">
      <c r="A163" t="s">
        <v>168</v>
      </c>
      <c r="B163" s="2">
        <v>1724</v>
      </c>
      <c r="C163" s="2">
        <v>363</v>
      </c>
      <c r="D163" s="3">
        <f t="shared" si="4"/>
        <v>0.21055684454756379</v>
      </c>
      <c r="E163" s="2">
        <v>62</v>
      </c>
      <c r="F163" s="3">
        <f t="shared" si="5"/>
        <v>0.17079889807162535</v>
      </c>
      <c r="G163" s="2"/>
    </row>
    <row r="164" spans="1:7" x14ac:dyDescent="0.25">
      <c r="A164" t="s">
        <v>169</v>
      </c>
      <c r="B164" s="2">
        <v>3448</v>
      </c>
      <c r="C164" s="2">
        <v>1099</v>
      </c>
      <c r="D164" s="3">
        <f t="shared" si="4"/>
        <v>0.31873549883990721</v>
      </c>
      <c r="E164" s="2">
        <v>332</v>
      </c>
      <c r="F164" s="3">
        <f t="shared" si="5"/>
        <v>0.30209281164695179</v>
      </c>
      <c r="G164" s="2"/>
    </row>
    <row r="165" spans="1:7" x14ac:dyDescent="0.25">
      <c r="A165" t="s">
        <v>170</v>
      </c>
      <c r="B165" s="2">
        <v>443</v>
      </c>
      <c r="C165" s="2">
        <v>240</v>
      </c>
      <c r="D165" s="3">
        <f t="shared" si="4"/>
        <v>0.54176072234762984</v>
      </c>
      <c r="E165" s="2">
        <v>6</v>
      </c>
      <c r="F165" s="3">
        <f t="shared" si="5"/>
        <v>2.5000000000000001E-2</v>
      </c>
      <c r="G165" s="2"/>
    </row>
    <row r="166" spans="1:7" x14ac:dyDescent="0.25">
      <c r="A166" t="s">
        <v>171</v>
      </c>
      <c r="B166" s="2">
        <v>954</v>
      </c>
      <c r="C166" s="2">
        <v>21</v>
      </c>
      <c r="D166" s="3">
        <f t="shared" si="4"/>
        <v>2.20125786163522E-2</v>
      </c>
      <c r="E166" s="2">
        <v>21</v>
      </c>
      <c r="F166" s="3">
        <f t="shared" si="5"/>
        <v>1</v>
      </c>
      <c r="G166" s="2"/>
    </row>
    <row r="167" spans="1:7" x14ac:dyDescent="0.25">
      <c r="A167" t="s">
        <v>172</v>
      </c>
      <c r="B167" s="2">
        <v>3859</v>
      </c>
      <c r="C167" s="2">
        <v>139</v>
      </c>
      <c r="D167" s="3">
        <f t="shared" si="4"/>
        <v>3.6019694221300858E-2</v>
      </c>
      <c r="E167" s="2">
        <v>65</v>
      </c>
      <c r="F167" s="3">
        <f t="shared" si="5"/>
        <v>0.46762589928057552</v>
      </c>
      <c r="G167" s="2"/>
    </row>
    <row r="168" spans="1:7" x14ac:dyDescent="0.25">
      <c r="A168" t="s">
        <v>173</v>
      </c>
      <c r="B168" s="2">
        <v>580</v>
      </c>
      <c r="C168" s="2">
        <v>333</v>
      </c>
      <c r="D168" s="3">
        <f t="shared" si="4"/>
        <v>0.57413793103448274</v>
      </c>
      <c r="E168" s="2">
        <v>79</v>
      </c>
      <c r="F168" s="3">
        <f t="shared" si="5"/>
        <v>0.23723723723723725</v>
      </c>
      <c r="G168" s="2"/>
    </row>
    <row r="169" spans="1:7" x14ac:dyDescent="0.25">
      <c r="A169" t="s">
        <v>174</v>
      </c>
      <c r="B169" s="2">
        <v>2042</v>
      </c>
      <c r="C169" s="2">
        <v>438</v>
      </c>
      <c r="D169" s="3">
        <f t="shared" si="4"/>
        <v>0.21449559255631734</v>
      </c>
      <c r="E169" s="2">
        <v>60</v>
      </c>
      <c r="F169" s="3">
        <f t="shared" si="5"/>
        <v>0.13698630136986301</v>
      </c>
      <c r="G169" s="2"/>
    </row>
    <row r="170" spans="1:7" x14ac:dyDescent="0.25">
      <c r="A170" t="s">
        <v>175</v>
      </c>
      <c r="B170" s="2">
        <v>530</v>
      </c>
      <c r="C170" s="2">
        <v>245</v>
      </c>
      <c r="D170" s="3">
        <f t="shared" si="4"/>
        <v>0.46226415094339623</v>
      </c>
      <c r="E170" s="2">
        <v>41</v>
      </c>
      <c r="F170" s="3">
        <f t="shared" si="5"/>
        <v>0.16734693877551021</v>
      </c>
      <c r="G170" s="2"/>
    </row>
    <row r="171" spans="1:7" x14ac:dyDescent="0.25">
      <c r="A171" t="s">
        <v>176</v>
      </c>
      <c r="B171" s="2">
        <v>11308</v>
      </c>
      <c r="C171" s="2">
        <v>3407</v>
      </c>
      <c r="D171" s="3">
        <f t="shared" si="4"/>
        <v>0.30129112133003183</v>
      </c>
      <c r="E171" s="2">
        <v>512</v>
      </c>
      <c r="F171" s="3">
        <f t="shared" si="5"/>
        <v>0.15027883768711475</v>
      </c>
      <c r="G171" s="2"/>
    </row>
    <row r="172" spans="1:7" x14ac:dyDescent="0.25">
      <c r="A172" t="s">
        <v>177</v>
      </c>
      <c r="B172" s="2">
        <v>3282</v>
      </c>
      <c r="C172" s="2">
        <v>1215</v>
      </c>
      <c r="D172" s="3">
        <f t="shared" si="4"/>
        <v>0.37020109689213893</v>
      </c>
      <c r="E172" s="2">
        <v>151</v>
      </c>
      <c r="F172" s="3">
        <f t="shared" si="5"/>
        <v>0.1242798353909465</v>
      </c>
      <c r="G172" s="2"/>
    </row>
    <row r="173" spans="1:7" x14ac:dyDescent="0.25">
      <c r="A173" t="s">
        <v>178</v>
      </c>
      <c r="B173" s="2">
        <v>858</v>
      </c>
      <c r="C173" s="2">
        <v>100</v>
      </c>
      <c r="D173" s="3">
        <f t="shared" si="4"/>
        <v>0.11655011655011654</v>
      </c>
      <c r="E173" s="2">
        <v>0</v>
      </c>
      <c r="F173" s="3">
        <f t="shared" si="5"/>
        <v>0</v>
      </c>
      <c r="G173" s="2"/>
    </row>
    <row r="174" spans="1:7" x14ac:dyDescent="0.25">
      <c r="A174" t="s">
        <v>179</v>
      </c>
      <c r="B174" s="2">
        <v>4237</v>
      </c>
      <c r="C174" s="2">
        <v>1041</v>
      </c>
      <c r="D174" s="3">
        <f t="shared" si="4"/>
        <v>0.24569270710408309</v>
      </c>
      <c r="E174" s="2">
        <v>144</v>
      </c>
      <c r="F174" s="3">
        <f t="shared" si="5"/>
        <v>0.13832853025936601</v>
      </c>
      <c r="G174" s="2"/>
    </row>
    <row r="175" spans="1:7" x14ac:dyDescent="0.25">
      <c r="A175" t="s">
        <v>180</v>
      </c>
      <c r="B175" s="2">
        <v>4802</v>
      </c>
      <c r="C175" s="2">
        <v>1446</v>
      </c>
      <c r="D175" s="3">
        <f t="shared" si="4"/>
        <v>0.30112453144523116</v>
      </c>
      <c r="E175" s="2">
        <v>201</v>
      </c>
      <c r="F175" s="3">
        <f t="shared" si="5"/>
        <v>0.13900414937759337</v>
      </c>
      <c r="G175" s="2"/>
    </row>
    <row r="176" spans="1:7" s="13" customFormat="1" x14ac:dyDescent="0.25">
      <c r="A176" s="13" t="s">
        <v>181</v>
      </c>
      <c r="B176" s="14">
        <v>623</v>
      </c>
      <c r="C176" s="14">
        <v>30</v>
      </c>
      <c r="D176" s="15">
        <f t="shared" si="4"/>
        <v>4.8154093097913325E-2</v>
      </c>
      <c r="E176" s="14">
        <v>0</v>
      </c>
      <c r="F176" s="15">
        <f t="shared" si="5"/>
        <v>0</v>
      </c>
      <c r="G176" s="14"/>
    </row>
    <row r="177" spans="1:7" x14ac:dyDescent="0.25">
      <c r="A177" t="s">
        <v>182</v>
      </c>
      <c r="B177" s="2">
        <v>4666</v>
      </c>
      <c r="C177" s="2">
        <v>1287</v>
      </c>
      <c r="D177" s="3">
        <f t="shared" si="4"/>
        <v>0.27582511787398201</v>
      </c>
      <c r="E177" s="2">
        <v>164</v>
      </c>
      <c r="F177" s="3">
        <f t="shared" si="5"/>
        <v>0.12742812742812742</v>
      </c>
      <c r="G177" s="2"/>
    </row>
    <row r="178" spans="1:7" x14ac:dyDescent="0.25">
      <c r="A178" t="s">
        <v>183</v>
      </c>
      <c r="B178" s="2">
        <v>944</v>
      </c>
      <c r="C178" s="2">
        <v>31</v>
      </c>
      <c r="D178" s="3">
        <f t="shared" si="4"/>
        <v>3.283898305084746E-2</v>
      </c>
      <c r="E178" s="2">
        <v>31</v>
      </c>
      <c r="F178" s="3">
        <f t="shared" si="5"/>
        <v>1</v>
      </c>
      <c r="G178" s="2"/>
    </row>
    <row r="179" spans="1:7" x14ac:dyDescent="0.25">
      <c r="A179" t="s">
        <v>184</v>
      </c>
      <c r="B179" s="2">
        <v>372</v>
      </c>
      <c r="C179" s="2">
        <v>109</v>
      </c>
      <c r="D179" s="3">
        <f t="shared" si="4"/>
        <v>0.29301075268817206</v>
      </c>
      <c r="E179" s="2">
        <v>6</v>
      </c>
      <c r="F179" s="3">
        <f t="shared" si="5"/>
        <v>5.5045871559633031E-2</v>
      </c>
      <c r="G179" s="2"/>
    </row>
    <row r="180" spans="1:7" x14ac:dyDescent="0.25">
      <c r="A180" t="s">
        <v>185</v>
      </c>
      <c r="B180" s="2">
        <v>86</v>
      </c>
      <c r="C180" s="2">
        <v>13</v>
      </c>
      <c r="D180" s="3">
        <f t="shared" si="4"/>
        <v>0.15116279069767441</v>
      </c>
      <c r="E180" s="2">
        <v>0</v>
      </c>
      <c r="F180" s="3">
        <f t="shared" si="5"/>
        <v>0</v>
      </c>
      <c r="G180" s="2"/>
    </row>
    <row r="181" spans="1:7" x14ac:dyDescent="0.25">
      <c r="A181" t="s">
        <v>186</v>
      </c>
      <c r="B181" s="2">
        <v>3007</v>
      </c>
      <c r="C181" s="2">
        <v>1069</v>
      </c>
      <c r="D181" s="3">
        <f t="shared" si="4"/>
        <v>0.35550382440971068</v>
      </c>
      <c r="E181" s="2">
        <v>198</v>
      </c>
      <c r="F181" s="3">
        <f t="shared" si="5"/>
        <v>0.18521983161833488</v>
      </c>
      <c r="G181" s="2"/>
    </row>
    <row r="182" spans="1:7" x14ac:dyDescent="0.25">
      <c r="A182" t="s">
        <v>187</v>
      </c>
      <c r="B182" s="2">
        <v>1196</v>
      </c>
      <c r="C182" s="2">
        <v>269</v>
      </c>
      <c r="D182" s="3">
        <f t="shared" si="4"/>
        <v>0.22491638795986621</v>
      </c>
      <c r="E182" s="2">
        <v>23</v>
      </c>
      <c r="F182" s="3">
        <f t="shared" si="5"/>
        <v>8.5501858736059477E-2</v>
      </c>
      <c r="G182" s="2"/>
    </row>
    <row r="183" spans="1:7" x14ac:dyDescent="0.25">
      <c r="A183" t="s">
        <v>188</v>
      </c>
      <c r="B183" s="2">
        <v>486</v>
      </c>
      <c r="C183" s="2">
        <v>50</v>
      </c>
      <c r="D183" s="3">
        <f t="shared" si="4"/>
        <v>0.102880658436214</v>
      </c>
      <c r="E183" s="2">
        <v>0</v>
      </c>
      <c r="F183" s="3">
        <f t="shared" si="5"/>
        <v>0</v>
      </c>
      <c r="G183" s="2"/>
    </row>
    <row r="184" spans="1:7" x14ac:dyDescent="0.25">
      <c r="A184" t="s">
        <v>189</v>
      </c>
      <c r="B184" s="2">
        <v>6860</v>
      </c>
      <c r="C184" s="2">
        <v>2622</v>
      </c>
      <c r="D184" s="3">
        <f t="shared" si="4"/>
        <v>0.38221574344023324</v>
      </c>
      <c r="E184" s="2">
        <v>962</v>
      </c>
      <c r="F184" s="3">
        <f t="shared" si="5"/>
        <v>0.36689549961861173</v>
      </c>
      <c r="G184" s="2"/>
    </row>
    <row r="185" spans="1:7" x14ac:dyDescent="0.25">
      <c r="A185" t="s">
        <v>190</v>
      </c>
      <c r="B185" s="2">
        <v>1412</v>
      </c>
      <c r="C185" s="2">
        <v>59</v>
      </c>
      <c r="D185" s="3">
        <f t="shared" si="4"/>
        <v>4.1784702549575073E-2</v>
      </c>
      <c r="E185" s="2">
        <v>0</v>
      </c>
      <c r="F185" s="3">
        <f t="shared" si="5"/>
        <v>0</v>
      </c>
      <c r="G185" s="2"/>
    </row>
    <row r="186" spans="1:7" x14ac:dyDescent="0.25">
      <c r="A186" t="s">
        <v>191</v>
      </c>
      <c r="B186" s="2">
        <v>892</v>
      </c>
      <c r="C186" s="2">
        <v>265</v>
      </c>
      <c r="D186" s="3">
        <f t="shared" si="4"/>
        <v>0.297085201793722</v>
      </c>
      <c r="E186" s="2">
        <v>21</v>
      </c>
      <c r="F186" s="3">
        <f t="shared" si="5"/>
        <v>7.9245283018867921E-2</v>
      </c>
      <c r="G186" s="2"/>
    </row>
    <row r="187" spans="1:7" x14ac:dyDescent="0.25">
      <c r="A187" t="s">
        <v>192</v>
      </c>
      <c r="B187" s="2">
        <v>996</v>
      </c>
      <c r="C187" s="2">
        <v>359</v>
      </c>
      <c r="D187" s="3">
        <f t="shared" si="4"/>
        <v>0.36044176706827308</v>
      </c>
      <c r="E187" s="2">
        <v>64</v>
      </c>
      <c r="F187" s="3">
        <f t="shared" si="5"/>
        <v>0.17827298050139276</v>
      </c>
      <c r="G187" s="2"/>
    </row>
    <row r="188" spans="1:7" x14ac:dyDescent="0.25">
      <c r="A188" t="s">
        <v>193</v>
      </c>
      <c r="B188" s="2">
        <v>16835</v>
      </c>
      <c r="C188" s="2">
        <v>4969</v>
      </c>
      <c r="D188" s="3">
        <f t="shared" si="4"/>
        <v>0.29515889515889515</v>
      </c>
      <c r="E188" s="2">
        <v>1121</v>
      </c>
      <c r="F188" s="3">
        <f t="shared" si="5"/>
        <v>0.22559871201448983</v>
      </c>
      <c r="G188" s="2"/>
    </row>
    <row r="189" spans="1:7" x14ac:dyDescent="0.25">
      <c r="A189" t="s">
        <v>194</v>
      </c>
      <c r="B189" s="2">
        <v>1634</v>
      </c>
      <c r="C189" s="2">
        <v>758</v>
      </c>
      <c r="D189" s="3">
        <f t="shared" si="4"/>
        <v>0.46389228886168909</v>
      </c>
      <c r="E189" s="2">
        <v>199</v>
      </c>
      <c r="F189" s="3">
        <f t="shared" si="5"/>
        <v>0.26253298153034299</v>
      </c>
      <c r="G189" s="2"/>
    </row>
    <row r="190" spans="1:7" x14ac:dyDescent="0.25">
      <c r="A190" t="s">
        <v>195</v>
      </c>
      <c r="B190" s="2">
        <v>6225</v>
      </c>
      <c r="C190" s="2">
        <v>1727</v>
      </c>
      <c r="D190" s="3">
        <f t="shared" si="4"/>
        <v>0.277429718875502</v>
      </c>
      <c r="E190" s="2">
        <v>470</v>
      </c>
      <c r="F190" s="3">
        <f t="shared" si="5"/>
        <v>0.27214823393167342</v>
      </c>
      <c r="G190" s="2"/>
    </row>
    <row r="191" spans="1:7" x14ac:dyDescent="0.25">
      <c r="A191" t="s">
        <v>196</v>
      </c>
      <c r="B191" s="2">
        <v>739</v>
      </c>
      <c r="C191" s="2">
        <v>421</v>
      </c>
      <c r="D191" s="3">
        <f t="shared" si="4"/>
        <v>0.56968876860622464</v>
      </c>
      <c r="E191" s="2">
        <v>73</v>
      </c>
      <c r="F191" s="3">
        <f t="shared" si="5"/>
        <v>0.17339667458432304</v>
      </c>
      <c r="G191" s="2"/>
    </row>
    <row r="192" spans="1:7" s="9" customFormat="1" x14ac:dyDescent="0.25">
      <c r="A192" s="9" t="s">
        <v>197</v>
      </c>
      <c r="B192" s="10">
        <v>160</v>
      </c>
      <c r="C192" s="10">
        <v>26</v>
      </c>
      <c r="D192" s="11">
        <f t="shared" si="4"/>
        <v>0.16250000000000001</v>
      </c>
      <c r="E192" s="10">
        <v>0</v>
      </c>
      <c r="F192" s="11">
        <f t="shared" si="5"/>
        <v>0</v>
      </c>
      <c r="G192" s="10"/>
    </row>
    <row r="193" spans="1:7" x14ac:dyDescent="0.25">
      <c r="A193" t="s">
        <v>198</v>
      </c>
      <c r="B193" s="2">
        <v>1402</v>
      </c>
      <c r="C193" s="2">
        <v>423</v>
      </c>
      <c r="D193" s="3">
        <f t="shared" si="4"/>
        <v>0.30171184022824538</v>
      </c>
      <c r="E193" s="2">
        <v>59</v>
      </c>
      <c r="F193" s="3">
        <f t="shared" si="5"/>
        <v>0.13947990543735225</v>
      </c>
      <c r="G193" s="2"/>
    </row>
    <row r="194" spans="1:7" x14ac:dyDescent="0.25">
      <c r="A194" t="s">
        <v>199</v>
      </c>
      <c r="B194" s="2">
        <v>597</v>
      </c>
      <c r="C194" s="2">
        <v>135</v>
      </c>
      <c r="D194" s="3">
        <f t="shared" si="4"/>
        <v>0.22613065326633167</v>
      </c>
      <c r="E194" s="2">
        <v>0</v>
      </c>
      <c r="F194" s="3">
        <f t="shared" si="5"/>
        <v>0</v>
      </c>
      <c r="G194" s="2"/>
    </row>
    <row r="195" spans="1:7" x14ac:dyDescent="0.25">
      <c r="A195" t="s">
        <v>200</v>
      </c>
      <c r="B195" s="2">
        <v>4507</v>
      </c>
      <c r="C195" s="2">
        <v>1264</v>
      </c>
      <c r="D195" s="3">
        <f t="shared" si="4"/>
        <v>0.28045262924339914</v>
      </c>
      <c r="E195" s="2">
        <v>334</v>
      </c>
      <c r="F195" s="3">
        <f t="shared" si="5"/>
        <v>0.26424050632911394</v>
      </c>
      <c r="G195" s="2"/>
    </row>
    <row r="196" spans="1:7" x14ac:dyDescent="0.25">
      <c r="A196" t="s">
        <v>201</v>
      </c>
      <c r="B196" s="2">
        <v>977</v>
      </c>
      <c r="C196" s="2">
        <v>489</v>
      </c>
      <c r="D196" s="3">
        <f t="shared" ref="D196:D249" si="6">C196/B196</f>
        <v>0.50051177072671438</v>
      </c>
      <c r="E196" s="2">
        <v>403</v>
      </c>
      <c r="F196" s="3">
        <f t="shared" ref="F196:F249" si="7">E196/C196</f>
        <v>0.82413087934560325</v>
      </c>
      <c r="G196" s="2" t="s">
        <v>31</v>
      </c>
    </row>
    <row r="197" spans="1:7" x14ac:dyDescent="0.25">
      <c r="A197" t="s">
        <v>202</v>
      </c>
      <c r="B197" s="2">
        <v>243</v>
      </c>
      <c r="C197" s="2">
        <v>28</v>
      </c>
      <c r="D197" s="3">
        <f t="shared" si="6"/>
        <v>0.11522633744855967</v>
      </c>
      <c r="E197" s="2">
        <v>0</v>
      </c>
      <c r="F197" s="3">
        <f t="shared" si="7"/>
        <v>0</v>
      </c>
      <c r="G197" s="2"/>
    </row>
    <row r="198" spans="1:7" x14ac:dyDescent="0.25">
      <c r="A198" t="s">
        <v>203</v>
      </c>
      <c r="B198" s="2">
        <v>463</v>
      </c>
      <c r="C198" s="2">
        <v>88</v>
      </c>
      <c r="D198" s="3">
        <f t="shared" si="6"/>
        <v>0.19006479481641469</v>
      </c>
      <c r="E198" s="2">
        <v>0</v>
      </c>
      <c r="F198" s="3">
        <f t="shared" si="7"/>
        <v>0</v>
      </c>
      <c r="G198" s="2"/>
    </row>
    <row r="199" spans="1:7" x14ac:dyDescent="0.25">
      <c r="A199" t="s">
        <v>204</v>
      </c>
      <c r="B199" s="2">
        <v>885</v>
      </c>
      <c r="C199" s="2">
        <v>297</v>
      </c>
      <c r="D199" s="3">
        <f t="shared" si="6"/>
        <v>0.33559322033898303</v>
      </c>
      <c r="E199" s="2">
        <v>22</v>
      </c>
      <c r="F199" s="3">
        <f t="shared" si="7"/>
        <v>7.407407407407407E-2</v>
      </c>
      <c r="G199" s="2"/>
    </row>
    <row r="200" spans="1:7" x14ac:dyDescent="0.25">
      <c r="A200" t="s">
        <v>205</v>
      </c>
      <c r="B200" s="2">
        <v>90</v>
      </c>
      <c r="C200" s="2">
        <v>70</v>
      </c>
      <c r="D200" s="3">
        <f t="shared" si="6"/>
        <v>0.77777777777777779</v>
      </c>
      <c r="E200" s="2">
        <v>0</v>
      </c>
      <c r="F200" s="3">
        <f t="shared" si="7"/>
        <v>0</v>
      </c>
      <c r="G200" s="2"/>
    </row>
    <row r="201" spans="1:7" x14ac:dyDescent="0.25">
      <c r="A201" t="s">
        <v>206</v>
      </c>
      <c r="B201" s="2">
        <v>4799</v>
      </c>
      <c r="C201" s="2">
        <v>1427</v>
      </c>
      <c r="D201" s="3">
        <f t="shared" si="6"/>
        <v>0.29735361533652843</v>
      </c>
      <c r="E201" s="2">
        <v>299</v>
      </c>
      <c r="F201" s="3">
        <f t="shared" si="7"/>
        <v>0.20953048353188508</v>
      </c>
      <c r="G201" s="2"/>
    </row>
    <row r="202" spans="1:7" x14ac:dyDescent="0.25">
      <c r="A202" t="s">
        <v>207</v>
      </c>
      <c r="B202" s="2">
        <v>2273</v>
      </c>
      <c r="C202" s="2">
        <v>843</v>
      </c>
      <c r="D202" s="3">
        <f t="shared" si="6"/>
        <v>0.37087549494060712</v>
      </c>
      <c r="E202" s="2">
        <v>163</v>
      </c>
      <c r="F202" s="3">
        <f t="shared" si="7"/>
        <v>0.19335705812574139</v>
      </c>
      <c r="G202" s="2"/>
    </row>
    <row r="203" spans="1:7" x14ac:dyDescent="0.25">
      <c r="A203" t="s">
        <v>208</v>
      </c>
      <c r="B203" s="2">
        <v>409</v>
      </c>
      <c r="C203" s="2">
        <v>215</v>
      </c>
      <c r="D203" s="3">
        <f t="shared" si="6"/>
        <v>0.52567237163814184</v>
      </c>
      <c r="E203" s="2">
        <v>58</v>
      </c>
      <c r="F203" s="3">
        <f t="shared" si="7"/>
        <v>0.26976744186046514</v>
      </c>
      <c r="G203" s="2"/>
    </row>
    <row r="204" spans="1:7" x14ac:dyDescent="0.25">
      <c r="A204" t="s">
        <v>209</v>
      </c>
      <c r="B204" s="2">
        <v>904</v>
      </c>
      <c r="C204" s="2">
        <v>110</v>
      </c>
      <c r="D204" s="3">
        <f t="shared" si="6"/>
        <v>0.12168141592920353</v>
      </c>
      <c r="E204" s="2">
        <v>0</v>
      </c>
      <c r="F204" s="3">
        <f t="shared" si="7"/>
        <v>0</v>
      </c>
      <c r="G204" s="2"/>
    </row>
    <row r="205" spans="1:7" x14ac:dyDescent="0.25">
      <c r="A205" t="s">
        <v>210</v>
      </c>
      <c r="B205" s="2">
        <v>1111</v>
      </c>
      <c r="C205" s="2">
        <v>108</v>
      </c>
      <c r="D205" s="3">
        <f t="shared" si="6"/>
        <v>9.7209720972097208E-2</v>
      </c>
      <c r="E205" s="2">
        <v>0</v>
      </c>
      <c r="F205" s="3">
        <f t="shared" si="7"/>
        <v>0</v>
      </c>
      <c r="G205" s="2"/>
    </row>
    <row r="206" spans="1:7" s="9" customFormat="1" x14ac:dyDescent="0.25">
      <c r="A206" s="9" t="s">
        <v>211</v>
      </c>
      <c r="B206" s="10">
        <v>1208</v>
      </c>
      <c r="C206" s="10">
        <v>54</v>
      </c>
      <c r="D206" s="11">
        <f t="shared" si="6"/>
        <v>4.4701986754966887E-2</v>
      </c>
      <c r="E206" s="10">
        <v>0</v>
      </c>
      <c r="F206" s="11">
        <f t="shared" si="7"/>
        <v>0</v>
      </c>
      <c r="G206" s="10"/>
    </row>
    <row r="207" spans="1:7" x14ac:dyDescent="0.25">
      <c r="A207" t="s">
        <v>212</v>
      </c>
      <c r="B207" s="2">
        <v>1124</v>
      </c>
      <c r="C207" s="2">
        <v>174</v>
      </c>
      <c r="D207" s="3">
        <f t="shared" si="6"/>
        <v>0.15480427046263345</v>
      </c>
      <c r="E207" s="2">
        <v>0</v>
      </c>
      <c r="F207" s="3">
        <f t="shared" si="7"/>
        <v>0</v>
      </c>
      <c r="G207" s="2"/>
    </row>
    <row r="208" spans="1:7" x14ac:dyDescent="0.25">
      <c r="A208" t="s">
        <v>213</v>
      </c>
      <c r="B208" s="2">
        <v>2654</v>
      </c>
      <c r="C208" s="2">
        <v>901</v>
      </c>
      <c r="D208" s="3">
        <f t="shared" si="6"/>
        <v>0.3394875659382065</v>
      </c>
      <c r="E208" s="2">
        <v>186</v>
      </c>
      <c r="F208" s="3">
        <f t="shared" si="7"/>
        <v>0.20643729189789123</v>
      </c>
      <c r="G208" s="2"/>
    </row>
    <row r="209" spans="1:7" x14ac:dyDescent="0.25">
      <c r="A209" t="s">
        <v>214</v>
      </c>
      <c r="B209" s="2">
        <v>2139</v>
      </c>
      <c r="C209" s="2">
        <v>635</v>
      </c>
      <c r="D209" s="3">
        <f t="shared" si="6"/>
        <v>0.29686769518466571</v>
      </c>
      <c r="E209" s="2">
        <v>50</v>
      </c>
      <c r="F209" s="3">
        <f t="shared" si="7"/>
        <v>7.874015748031496E-2</v>
      </c>
      <c r="G209" s="2"/>
    </row>
    <row r="210" spans="1:7" x14ac:dyDescent="0.25">
      <c r="A210" t="s">
        <v>215</v>
      </c>
      <c r="B210" s="2">
        <v>1820</v>
      </c>
      <c r="C210" s="2">
        <v>472</v>
      </c>
      <c r="D210" s="3">
        <f t="shared" si="6"/>
        <v>0.25934065934065936</v>
      </c>
      <c r="E210" s="2">
        <v>50</v>
      </c>
      <c r="F210" s="3">
        <f t="shared" si="7"/>
        <v>0.1059322033898305</v>
      </c>
      <c r="G210" s="2"/>
    </row>
    <row r="211" spans="1:7" s="13" customFormat="1" x14ac:dyDescent="0.25">
      <c r="A211" s="13" t="s">
        <v>216</v>
      </c>
      <c r="B211" s="14">
        <v>584</v>
      </c>
      <c r="C211" s="14">
        <v>92</v>
      </c>
      <c r="D211" s="15">
        <f t="shared" si="6"/>
        <v>0.15753424657534246</v>
      </c>
      <c r="E211" s="14">
        <v>0</v>
      </c>
      <c r="F211" s="15">
        <f t="shared" si="7"/>
        <v>0</v>
      </c>
      <c r="G211" s="14"/>
    </row>
    <row r="212" spans="1:7" x14ac:dyDescent="0.25">
      <c r="A212" t="s">
        <v>217</v>
      </c>
      <c r="B212" s="2">
        <v>64</v>
      </c>
      <c r="C212" s="2">
        <v>50</v>
      </c>
      <c r="D212" s="3">
        <f t="shared" si="6"/>
        <v>0.78125</v>
      </c>
      <c r="E212" s="2">
        <v>25</v>
      </c>
      <c r="F212" s="3">
        <f t="shared" si="7"/>
        <v>0.5</v>
      </c>
      <c r="G212" s="2"/>
    </row>
    <row r="213" spans="1:7" x14ac:dyDescent="0.25">
      <c r="A213" t="s">
        <v>218</v>
      </c>
      <c r="B213" s="2">
        <v>1512</v>
      </c>
      <c r="C213" s="2">
        <v>663</v>
      </c>
      <c r="D213" s="3">
        <f t="shared" si="6"/>
        <v>0.43849206349206349</v>
      </c>
      <c r="E213" s="2">
        <v>97</v>
      </c>
      <c r="F213" s="3">
        <f t="shared" si="7"/>
        <v>0.14630467571644043</v>
      </c>
      <c r="G213" s="2"/>
    </row>
    <row r="214" spans="1:7" x14ac:dyDescent="0.25">
      <c r="A214" t="s">
        <v>219</v>
      </c>
      <c r="B214" s="2">
        <v>753</v>
      </c>
      <c r="C214" s="2">
        <v>185</v>
      </c>
      <c r="D214" s="3">
        <f t="shared" si="6"/>
        <v>0.24568393094289509</v>
      </c>
      <c r="E214" s="2">
        <v>35</v>
      </c>
      <c r="F214" s="3">
        <f t="shared" si="7"/>
        <v>0.1891891891891892</v>
      </c>
      <c r="G214" s="2"/>
    </row>
    <row r="215" spans="1:7" x14ac:dyDescent="0.25">
      <c r="A215" t="s">
        <v>220</v>
      </c>
      <c r="B215" s="2">
        <v>1583</v>
      </c>
      <c r="C215" s="2">
        <v>598</v>
      </c>
      <c r="D215" s="3">
        <f t="shared" si="6"/>
        <v>0.37776373973468097</v>
      </c>
      <c r="E215" s="2">
        <v>133</v>
      </c>
      <c r="F215" s="3">
        <f t="shared" si="7"/>
        <v>0.22240802675585283</v>
      </c>
      <c r="G215" s="2"/>
    </row>
    <row r="216" spans="1:7" x14ac:dyDescent="0.25">
      <c r="A216" t="s">
        <v>221</v>
      </c>
      <c r="B216" s="2">
        <v>391</v>
      </c>
      <c r="C216" s="2">
        <v>45</v>
      </c>
      <c r="D216" s="3">
        <f t="shared" si="6"/>
        <v>0.11508951406649616</v>
      </c>
      <c r="E216" s="2">
        <v>0</v>
      </c>
      <c r="F216" s="3">
        <f t="shared" si="7"/>
        <v>0</v>
      </c>
      <c r="G216" s="2"/>
    </row>
    <row r="217" spans="1:7" x14ac:dyDescent="0.25">
      <c r="A217" t="s">
        <v>222</v>
      </c>
      <c r="B217" s="2">
        <v>669</v>
      </c>
      <c r="C217" s="2">
        <v>60</v>
      </c>
      <c r="D217" s="3">
        <f t="shared" si="6"/>
        <v>8.9686098654708515E-2</v>
      </c>
      <c r="E217" s="2">
        <v>0</v>
      </c>
      <c r="F217" s="3">
        <f t="shared" si="7"/>
        <v>0</v>
      </c>
      <c r="G217" s="2"/>
    </row>
    <row r="218" spans="1:7" x14ac:dyDescent="0.25">
      <c r="A218" t="s">
        <v>223</v>
      </c>
      <c r="B218" s="2">
        <v>1557</v>
      </c>
      <c r="C218" s="2">
        <v>118</v>
      </c>
      <c r="D218" s="3">
        <f t="shared" si="6"/>
        <v>7.5786769428387926E-2</v>
      </c>
      <c r="E218" s="2">
        <v>118</v>
      </c>
      <c r="F218" s="3">
        <f t="shared" si="7"/>
        <v>1</v>
      </c>
      <c r="G218" s="2"/>
    </row>
    <row r="219" spans="1:7" x14ac:dyDescent="0.25">
      <c r="A219" t="s">
        <v>224</v>
      </c>
      <c r="B219" s="2">
        <v>818</v>
      </c>
      <c r="C219" s="2">
        <v>285</v>
      </c>
      <c r="D219" s="3">
        <f t="shared" si="6"/>
        <v>0.34841075794621029</v>
      </c>
      <c r="E219" s="2">
        <v>21</v>
      </c>
      <c r="F219" s="3">
        <f t="shared" si="7"/>
        <v>7.3684210526315783E-2</v>
      </c>
      <c r="G219" s="2"/>
    </row>
    <row r="220" spans="1:7" x14ac:dyDescent="0.25">
      <c r="A220" t="s">
        <v>225</v>
      </c>
      <c r="B220" s="2">
        <v>4421</v>
      </c>
      <c r="C220" s="2">
        <v>1447</v>
      </c>
      <c r="D220" s="3">
        <f t="shared" si="6"/>
        <v>0.32730151549423209</v>
      </c>
      <c r="E220" s="2">
        <v>326</v>
      </c>
      <c r="F220" s="3">
        <f t="shared" si="7"/>
        <v>0.22529371112646857</v>
      </c>
      <c r="G220" s="2"/>
    </row>
    <row r="221" spans="1:7" x14ac:dyDescent="0.25">
      <c r="A221" t="s">
        <v>226</v>
      </c>
      <c r="B221" s="2">
        <v>1072</v>
      </c>
      <c r="C221" s="2">
        <v>302</v>
      </c>
      <c r="D221" s="3">
        <f t="shared" si="6"/>
        <v>0.28171641791044777</v>
      </c>
      <c r="E221" s="2">
        <v>21</v>
      </c>
      <c r="F221" s="3">
        <f t="shared" si="7"/>
        <v>6.9536423841059597E-2</v>
      </c>
      <c r="G221" s="2"/>
    </row>
    <row r="222" spans="1:7" s="9" customFormat="1" x14ac:dyDescent="0.25">
      <c r="A222" s="9" t="s">
        <v>227</v>
      </c>
      <c r="B222" s="10">
        <v>610</v>
      </c>
      <c r="C222" s="10">
        <v>75</v>
      </c>
      <c r="D222" s="11">
        <f t="shared" si="6"/>
        <v>0.12295081967213115</v>
      </c>
      <c r="E222" s="10">
        <v>0</v>
      </c>
      <c r="F222" s="11">
        <f t="shared" si="7"/>
        <v>0</v>
      </c>
      <c r="G222" s="10"/>
    </row>
    <row r="223" spans="1:7" x14ac:dyDescent="0.25">
      <c r="A223" t="s">
        <v>228</v>
      </c>
      <c r="B223" s="2">
        <v>2508</v>
      </c>
      <c r="C223" s="2">
        <v>686</v>
      </c>
      <c r="D223" s="3">
        <f t="shared" si="6"/>
        <v>0.27352472089314195</v>
      </c>
      <c r="E223" s="2">
        <v>99</v>
      </c>
      <c r="F223" s="3">
        <f t="shared" si="7"/>
        <v>0.14431486880466474</v>
      </c>
      <c r="G223" s="2"/>
    </row>
    <row r="224" spans="1:7" x14ac:dyDescent="0.25">
      <c r="A224" t="s">
        <v>229</v>
      </c>
      <c r="B224" s="2">
        <v>975</v>
      </c>
      <c r="C224" s="2">
        <v>265</v>
      </c>
      <c r="D224" s="3">
        <f t="shared" si="6"/>
        <v>0.27179487179487177</v>
      </c>
      <c r="E224" s="2">
        <v>36</v>
      </c>
      <c r="F224" s="3">
        <f t="shared" si="7"/>
        <v>0.13584905660377358</v>
      </c>
      <c r="G224" s="2"/>
    </row>
    <row r="225" spans="1:7" x14ac:dyDescent="0.25">
      <c r="A225" t="s">
        <v>230</v>
      </c>
      <c r="B225" s="2">
        <v>515</v>
      </c>
      <c r="C225" s="2">
        <v>108</v>
      </c>
      <c r="D225" s="3">
        <f t="shared" si="6"/>
        <v>0.20970873786407768</v>
      </c>
      <c r="E225" s="2">
        <v>5</v>
      </c>
      <c r="F225" s="3">
        <f t="shared" si="7"/>
        <v>4.6296296296296294E-2</v>
      </c>
      <c r="G225" s="2"/>
    </row>
    <row r="226" spans="1:7" x14ac:dyDescent="0.25">
      <c r="A226" t="s">
        <v>231</v>
      </c>
      <c r="B226" s="2">
        <v>188</v>
      </c>
      <c r="C226" s="2">
        <v>90</v>
      </c>
      <c r="D226" s="3">
        <f t="shared" si="6"/>
        <v>0.47872340425531917</v>
      </c>
      <c r="E226" s="2">
        <v>6</v>
      </c>
      <c r="F226" s="3">
        <f t="shared" si="7"/>
        <v>6.6666666666666666E-2</v>
      </c>
      <c r="G226" s="2"/>
    </row>
    <row r="227" spans="1:7" x14ac:dyDescent="0.25">
      <c r="A227" t="s">
        <v>232</v>
      </c>
      <c r="B227" s="2">
        <v>1626</v>
      </c>
      <c r="C227" s="2">
        <v>442</v>
      </c>
      <c r="D227" s="3">
        <f t="shared" si="6"/>
        <v>0.27183271832718325</v>
      </c>
      <c r="E227" s="2">
        <v>36</v>
      </c>
      <c r="F227" s="3">
        <f t="shared" si="7"/>
        <v>8.1447963800904979E-2</v>
      </c>
      <c r="G227" s="2"/>
    </row>
    <row r="228" spans="1:7" x14ac:dyDescent="0.25">
      <c r="A228" t="s">
        <v>233</v>
      </c>
      <c r="B228" s="2">
        <v>1043</v>
      </c>
      <c r="C228" s="2">
        <v>115</v>
      </c>
      <c r="D228" s="3">
        <f t="shared" si="6"/>
        <v>0.11025886864813039</v>
      </c>
      <c r="E228" s="2">
        <v>0</v>
      </c>
      <c r="F228" s="3">
        <f t="shared" si="7"/>
        <v>0</v>
      </c>
      <c r="G228" s="2"/>
    </row>
    <row r="229" spans="1:7" x14ac:dyDescent="0.25">
      <c r="A229" t="s">
        <v>234</v>
      </c>
      <c r="B229" s="2">
        <v>461</v>
      </c>
      <c r="C229" s="2">
        <v>104</v>
      </c>
      <c r="D229" s="3">
        <f t="shared" si="6"/>
        <v>0.22559652928416485</v>
      </c>
      <c r="E229" s="2">
        <v>11</v>
      </c>
      <c r="F229" s="3">
        <f t="shared" si="7"/>
        <v>0.10576923076923077</v>
      </c>
      <c r="G229" s="2"/>
    </row>
    <row r="230" spans="1:7" x14ac:dyDescent="0.25">
      <c r="A230" t="s">
        <v>235</v>
      </c>
      <c r="B230" s="2">
        <v>1798</v>
      </c>
      <c r="C230" s="2">
        <v>842</v>
      </c>
      <c r="D230" s="3">
        <f t="shared" si="6"/>
        <v>0.46829810901001112</v>
      </c>
      <c r="E230" s="2">
        <v>603</v>
      </c>
      <c r="F230" s="3">
        <f t="shared" si="7"/>
        <v>0.71615201900237535</v>
      </c>
      <c r="G230" s="2" t="s">
        <v>31</v>
      </c>
    </row>
    <row r="231" spans="1:7" x14ac:dyDescent="0.25">
      <c r="A231" t="s">
        <v>236</v>
      </c>
      <c r="B231" s="2">
        <v>2629</v>
      </c>
      <c r="C231" s="2">
        <v>592</v>
      </c>
      <c r="D231" s="3">
        <f t="shared" si="6"/>
        <v>0.22518067706352224</v>
      </c>
      <c r="E231" s="2">
        <v>57</v>
      </c>
      <c r="F231" s="3">
        <f t="shared" si="7"/>
        <v>9.6283783783783786E-2</v>
      </c>
      <c r="G231" s="2"/>
    </row>
    <row r="232" spans="1:7" x14ac:dyDescent="0.25">
      <c r="A232" t="s">
        <v>237</v>
      </c>
      <c r="B232" s="2">
        <v>289</v>
      </c>
      <c r="C232" s="2">
        <v>63</v>
      </c>
      <c r="D232" s="3">
        <f t="shared" si="6"/>
        <v>0.2179930795847751</v>
      </c>
      <c r="E232" s="2">
        <v>0</v>
      </c>
      <c r="F232" s="3">
        <f t="shared" si="7"/>
        <v>0</v>
      </c>
      <c r="G232" s="2"/>
    </row>
    <row r="233" spans="1:7" x14ac:dyDescent="0.25">
      <c r="A233" t="s">
        <v>238</v>
      </c>
      <c r="B233" s="2">
        <v>545</v>
      </c>
      <c r="C233" s="2">
        <v>110</v>
      </c>
      <c r="D233" s="3">
        <f t="shared" si="6"/>
        <v>0.20183486238532111</v>
      </c>
      <c r="E233" s="2">
        <v>0</v>
      </c>
      <c r="F233" s="3">
        <f t="shared" si="7"/>
        <v>0</v>
      </c>
      <c r="G233" s="2"/>
    </row>
    <row r="234" spans="1:7" x14ac:dyDescent="0.25">
      <c r="A234" t="s">
        <v>239</v>
      </c>
      <c r="B234" s="2">
        <v>722</v>
      </c>
      <c r="C234" s="2">
        <v>262</v>
      </c>
      <c r="D234" s="3">
        <f t="shared" si="6"/>
        <v>0.36288088642659277</v>
      </c>
      <c r="E234" s="10">
        <v>18</v>
      </c>
      <c r="F234" s="3">
        <f t="shared" si="7"/>
        <v>6.8702290076335881E-2</v>
      </c>
      <c r="G234" s="2"/>
    </row>
    <row r="235" spans="1:7" x14ac:dyDescent="0.25">
      <c r="A235" t="s">
        <v>240</v>
      </c>
      <c r="B235" s="2">
        <v>582</v>
      </c>
      <c r="C235" s="2">
        <v>50</v>
      </c>
      <c r="D235" s="3">
        <f t="shared" si="6"/>
        <v>8.5910652920962199E-2</v>
      </c>
      <c r="E235" s="2">
        <v>0</v>
      </c>
      <c r="F235" s="3">
        <f t="shared" si="7"/>
        <v>0</v>
      </c>
      <c r="G235" s="2"/>
    </row>
    <row r="236" spans="1:7" x14ac:dyDescent="0.25">
      <c r="A236" t="s">
        <v>241</v>
      </c>
      <c r="B236" s="2">
        <v>298</v>
      </c>
      <c r="C236" s="2">
        <v>50</v>
      </c>
      <c r="D236" s="3">
        <f t="shared" si="6"/>
        <v>0.16778523489932887</v>
      </c>
      <c r="E236" s="2">
        <v>0</v>
      </c>
      <c r="F236" s="3">
        <f t="shared" si="7"/>
        <v>0</v>
      </c>
      <c r="G236" s="2"/>
    </row>
    <row r="237" spans="1:7" x14ac:dyDescent="0.25">
      <c r="A237" t="s">
        <v>242</v>
      </c>
      <c r="B237" s="2">
        <v>1021</v>
      </c>
      <c r="C237" s="2">
        <v>274</v>
      </c>
      <c r="D237" s="3">
        <f t="shared" si="6"/>
        <v>0.26836434867776687</v>
      </c>
      <c r="E237" s="2">
        <v>22</v>
      </c>
      <c r="F237" s="3">
        <f t="shared" si="7"/>
        <v>8.0291970802919707E-2</v>
      </c>
      <c r="G237" s="2"/>
    </row>
    <row r="238" spans="1:7" x14ac:dyDescent="0.25">
      <c r="A238" t="s">
        <v>243</v>
      </c>
      <c r="B238" s="2">
        <v>2477</v>
      </c>
      <c r="C238" s="2">
        <v>665</v>
      </c>
      <c r="D238" s="3">
        <f t="shared" si="6"/>
        <v>0.26846992329430763</v>
      </c>
      <c r="E238" s="2">
        <v>69</v>
      </c>
      <c r="F238" s="3">
        <f t="shared" si="7"/>
        <v>0.10375939849624061</v>
      </c>
      <c r="G238" s="2"/>
    </row>
    <row r="239" spans="1:7" x14ac:dyDescent="0.25">
      <c r="A239" t="s">
        <v>244</v>
      </c>
      <c r="B239" s="2">
        <v>8579</v>
      </c>
      <c r="C239" s="2">
        <v>2987</v>
      </c>
      <c r="D239" s="3">
        <f t="shared" si="6"/>
        <v>0.34817577806271127</v>
      </c>
      <c r="E239" s="2">
        <v>829</v>
      </c>
      <c r="F239" s="3">
        <f t="shared" si="7"/>
        <v>0.27753598928690992</v>
      </c>
      <c r="G239" s="2"/>
    </row>
    <row r="240" spans="1:7" x14ac:dyDescent="0.25">
      <c r="A240" t="s">
        <v>245</v>
      </c>
      <c r="B240" s="2">
        <v>1669</v>
      </c>
      <c r="C240" s="2">
        <v>423</v>
      </c>
      <c r="D240" s="3">
        <f t="shared" si="6"/>
        <v>0.25344517675254641</v>
      </c>
      <c r="E240" s="2">
        <v>55</v>
      </c>
      <c r="F240" s="3">
        <f t="shared" si="7"/>
        <v>0.13002364066193853</v>
      </c>
      <c r="G240" s="2"/>
    </row>
    <row r="241" spans="1:7" x14ac:dyDescent="0.25">
      <c r="A241" s="4" t="s">
        <v>246</v>
      </c>
      <c r="B241" s="5">
        <v>326</v>
      </c>
      <c r="C241" s="5">
        <v>148</v>
      </c>
      <c r="D241" s="6">
        <f t="shared" si="6"/>
        <v>0.45398773006134968</v>
      </c>
      <c r="E241" s="5">
        <v>0</v>
      </c>
      <c r="F241" s="6">
        <f t="shared" si="7"/>
        <v>0</v>
      </c>
      <c r="G241" s="5"/>
    </row>
    <row r="242" spans="1:7" x14ac:dyDescent="0.25">
      <c r="A242" t="s">
        <v>247</v>
      </c>
      <c r="B242" s="2">
        <v>2693</v>
      </c>
      <c r="C242" s="2">
        <v>716</v>
      </c>
      <c r="D242" s="3">
        <f t="shared" si="6"/>
        <v>0.26587448941700703</v>
      </c>
      <c r="E242" s="2">
        <v>68</v>
      </c>
      <c r="F242" s="3">
        <f t="shared" si="7"/>
        <v>9.4972067039106142E-2</v>
      </c>
      <c r="G242" s="2"/>
    </row>
    <row r="243" spans="1:7" x14ac:dyDescent="0.25">
      <c r="A243" t="s">
        <v>248</v>
      </c>
      <c r="B243" s="2">
        <v>781</v>
      </c>
      <c r="C243" s="2">
        <v>215</v>
      </c>
      <c r="D243" s="3">
        <f t="shared" si="6"/>
        <v>0.27528809218950062</v>
      </c>
      <c r="E243" s="2">
        <v>24</v>
      </c>
      <c r="F243" s="3">
        <f t="shared" si="7"/>
        <v>0.11162790697674418</v>
      </c>
      <c r="G243" s="2"/>
    </row>
    <row r="244" spans="1:7" x14ac:dyDescent="0.25">
      <c r="A244" t="s">
        <v>249</v>
      </c>
      <c r="B244" s="2">
        <v>5680</v>
      </c>
      <c r="C244" s="2">
        <v>1332</v>
      </c>
      <c r="D244" s="3">
        <f t="shared" si="6"/>
        <v>0.23450704225352112</v>
      </c>
      <c r="E244" s="2">
        <v>160</v>
      </c>
      <c r="F244" s="3">
        <f t="shared" si="7"/>
        <v>0.12012012012012012</v>
      </c>
      <c r="G244" s="2"/>
    </row>
    <row r="245" spans="1:7" x14ac:dyDescent="0.25">
      <c r="A245" t="s">
        <v>250</v>
      </c>
      <c r="B245" s="2">
        <v>1235</v>
      </c>
      <c r="C245" s="2">
        <v>265</v>
      </c>
      <c r="D245" s="3">
        <f t="shared" si="6"/>
        <v>0.2145748987854251</v>
      </c>
      <c r="E245" s="2">
        <v>32</v>
      </c>
      <c r="F245" s="3">
        <f t="shared" si="7"/>
        <v>0.12075471698113208</v>
      </c>
      <c r="G245" s="2"/>
    </row>
    <row r="246" spans="1:7" s="9" customFormat="1" x14ac:dyDescent="0.25">
      <c r="A246" s="9" t="s">
        <v>251</v>
      </c>
      <c r="B246" s="10">
        <v>712</v>
      </c>
      <c r="C246" s="10">
        <v>119</v>
      </c>
      <c r="D246" s="11">
        <f t="shared" si="6"/>
        <v>0.16713483146067415</v>
      </c>
      <c r="E246" s="10">
        <v>0</v>
      </c>
      <c r="F246" s="11">
        <f t="shared" si="7"/>
        <v>0</v>
      </c>
      <c r="G246" s="10"/>
    </row>
    <row r="247" spans="1:7" x14ac:dyDescent="0.25">
      <c r="A247" t="s">
        <v>252</v>
      </c>
      <c r="B247" s="2">
        <v>273</v>
      </c>
      <c r="C247" s="2">
        <v>68</v>
      </c>
      <c r="D247" s="3">
        <f t="shared" si="6"/>
        <v>0.24908424908424909</v>
      </c>
      <c r="E247" s="2">
        <v>3</v>
      </c>
      <c r="F247" s="3">
        <f t="shared" si="7"/>
        <v>4.4117647058823532E-2</v>
      </c>
      <c r="G247" s="2"/>
    </row>
    <row r="248" spans="1:7" x14ac:dyDescent="0.25">
      <c r="A248" t="s">
        <v>253</v>
      </c>
      <c r="B248" s="2">
        <v>2863</v>
      </c>
      <c r="C248" s="2">
        <v>1281</v>
      </c>
      <c r="D248" s="3">
        <f t="shared" si="6"/>
        <v>0.44743276283618583</v>
      </c>
      <c r="E248" s="2">
        <v>226</v>
      </c>
      <c r="F248" s="3">
        <f t="shared" si="7"/>
        <v>0.17642466822794692</v>
      </c>
      <c r="G248" s="2"/>
    </row>
    <row r="249" spans="1:7" x14ac:dyDescent="0.25">
      <c r="A249" t="s">
        <v>254</v>
      </c>
      <c r="B249" s="2">
        <v>803</v>
      </c>
      <c r="C249" s="2">
        <v>248</v>
      </c>
      <c r="D249" s="3">
        <f t="shared" si="6"/>
        <v>0.30884184308841844</v>
      </c>
      <c r="E249" s="2">
        <v>34</v>
      </c>
      <c r="F249" s="3">
        <f t="shared" si="7"/>
        <v>0.13709677419354838</v>
      </c>
      <c r="G249" s="2"/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DE6UZ2SY5E43-1273115200-278</_dlc_DocId>
    <_dlc_DocIdUrl xmlns="3b005fd8-62d5-4927-a0f9-fdac9185221f">
      <Url>https://outside.vermont.gov/dept/sos/_layouts/15/DocIdRedir.aspx?ID=DE6UZ2SY5E43-1273115200-278</Url>
      <Description>DE6UZ2SY5E43-1273115200-278</Description>
    </_dlc_DocIdUrl>
  </documentManagement>
</p:properties>
</file>

<file path=customXml/itemProps1.xml><?xml version="1.0" encoding="utf-8"?>
<ds:datastoreItem xmlns:ds="http://schemas.openxmlformats.org/officeDocument/2006/customXml" ds:itemID="{26D402A1-CDAF-44A4-8050-28EACAF859F4}"/>
</file>

<file path=customXml/itemProps2.xml><?xml version="1.0" encoding="utf-8"?>
<ds:datastoreItem xmlns:ds="http://schemas.openxmlformats.org/officeDocument/2006/customXml" ds:itemID="{F7DFEEB9-694B-40AD-A8A4-41D334D3DC61}"/>
</file>

<file path=customXml/itemProps3.xml><?xml version="1.0" encoding="utf-8"?>
<ds:datastoreItem xmlns:ds="http://schemas.openxmlformats.org/officeDocument/2006/customXml" ds:itemID="{0EC3C853-7431-42D8-828A-0A0816B26082}"/>
</file>

<file path=customXml/itemProps4.xml><?xml version="1.0" encoding="utf-8"?>
<ds:datastoreItem xmlns:ds="http://schemas.openxmlformats.org/officeDocument/2006/customXml" ds:itemID="{90107151-24ED-4931-848B-9AD992F6FB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Dan</dc:creator>
  <cp:lastModifiedBy>Brown, Dan</cp:lastModifiedBy>
  <dcterms:created xsi:type="dcterms:W3CDTF">2023-05-23T18:32:50Z</dcterms:created>
  <dcterms:modified xsi:type="dcterms:W3CDTF">2024-06-26T18:20:58Z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981217fa-f78a-4508-b1c8-00b425982f90</vt:lpwstr>
  </property>
</Properties>
</file>