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Sites\business-division-elections\documentLibrary\TC, Treas. CC. Guides and labels\Clerks\2023 Info\"/>
    </mc:Choice>
  </mc:AlternateContent>
  <xr:revisionPtr revIDLastSave="0" documentId="8_{41A516B2-7BE8-40B4-8BC1-C763F05FB725}" xr6:coauthVersionLast="47" xr6:coauthVersionMax="47" xr10:uidLastSave="{00000000-0000-0000-0000-000000000000}"/>
  <bookViews>
    <workbookView xWindow="-120" yWindow="-120" windowWidth="29040" windowHeight="15840" xr2:uid="{22A974B5-CD60-44D6-9A15-9187755FA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9" i="1" l="1"/>
  <c r="D249" i="1"/>
  <c r="F248" i="1"/>
  <c r="D248" i="1"/>
  <c r="F247" i="1"/>
  <c r="D247" i="1"/>
  <c r="F246" i="1"/>
  <c r="D246" i="1"/>
  <c r="F245" i="1"/>
  <c r="D245" i="1"/>
  <c r="F244" i="1"/>
  <c r="D244" i="1"/>
  <c r="F243" i="1"/>
  <c r="D243" i="1"/>
  <c r="F242" i="1"/>
  <c r="D242" i="1"/>
  <c r="F241" i="1"/>
  <c r="D241" i="1"/>
  <c r="F240" i="1"/>
  <c r="D240" i="1"/>
  <c r="F239" i="1"/>
  <c r="D239" i="1"/>
  <c r="F238" i="1"/>
  <c r="D238" i="1"/>
  <c r="F237" i="1"/>
  <c r="D237" i="1"/>
  <c r="F236" i="1"/>
  <c r="D236" i="1"/>
  <c r="F235" i="1"/>
  <c r="D235" i="1"/>
  <c r="F234" i="1"/>
  <c r="D234" i="1"/>
  <c r="F233" i="1"/>
  <c r="D233" i="1"/>
  <c r="F232" i="1"/>
  <c r="D232" i="1"/>
  <c r="F231" i="1"/>
  <c r="D231" i="1"/>
  <c r="F230" i="1"/>
  <c r="D230" i="1"/>
  <c r="F229" i="1"/>
  <c r="D229" i="1"/>
  <c r="F228" i="1"/>
  <c r="D228" i="1"/>
  <c r="F227" i="1"/>
  <c r="D227" i="1"/>
  <c r="F226" i="1"/>
  <c r="D226" i="1"/>
  <c r="F225" i="1"/>
  <c r="D225" i="1"/>
  <c r="F224" i="1"/>
  <c r="D224" i="1"/>
  <c r="F223" i="1"/>
  <c r="D223" i="1"/>
  <c r="F222" i="1"/>
  <c r="D222" i="1"/>
  <c r="F221" i="1"/>
  <c r="D221" i="1"/>
  <c r="F220" i="1"/>
  <c r="D220" i="1"/>
  <c r="F219" i="1"/>
  <c r="D219" i="1"/>
  <c r="F218" i="1"/>
  <c r="D218" i="1"/>
  <c r="F217" i="1"/>
  <c r="D217" i="1"/>
  <c r="F216" i="1"/>
  <c r="D216" i="1"/>
  <c r="F215" i="1"/>
  <c r="D215" i="1"/>
  <c r="F214" i="1"/>
  <c r="D214" i="1"/>
  <c r="F213" i="1"/>
  <c r="D213" i="1"/>
  <c r="F212" i="1"/>
  <c r="D212" i="1"/>
  <c r="F211" i="1"/>
  <c r="D211" i="1"/>
  <c r="F210" i="1"/>
  <c r="D210" i="1"/>
  <c r="F209" i="1"/>
  <c r="D209" i="1"/>
  <c r="F208" i="1"/>
  <c r="D208" i="1"/>
  <c r="F207" i="1"/>
  <c r="D207" i="1"/>
  <c r="F206" i="1"/>
  <c r="D206" i="1"/>
  <c r="F205" i="1"/>
  <c r="D205" i="1"/>
  <c r="F204" i="1"/>
  <c r="D204" i="1"/>
  <c r="F203" i="1"/>
  <c r="D203" i="1"/>
  <c r="F202" i="1"/>
  <c r="D202" i="1"/>
  <c r="F201" i="1"/>
  <c r="D201" i="1"/>
  <c r="F200" i="1"/>
  <c r="D200" i="1"/>
  <c r="F199" i="1"/>
  <c r="D199" i="1"/>
  <c r="F198" i="1"/>
  <c r="D198" i="1"/>
  <c r="F197" i="1"/>
  <c r="D197" i="1"/>
  <c r="F196" i="1"/>
  <c r="D196" i="1"/>
  <c r="F195" i="1"/>
  <c r="D195" i="1"/>
  <c r="F194" i="1"/>
  <c r="D194" i="1"/>
  <c r="F193" i="1"/>
  <c r="D193" i="1"/>
  <c r="F192" i="1"/>
  <c r="D192" i="1"/>
  <c r="F191" i="1"/>
  <c r="D191" i="1"/>
  <c r="F190" i="1"/>
  <c r="D190" i="1"/>
  <c r="F189" i="1"/>
  <c r="D189" i="1"/>
  <c r="F188" i="1"/>
  <c r="D188" i="1"/>
  <c r="F187" i="1"/>
  <c r="D187" i="1"/>
  <c r="F186" i="1"/>
  <c r="D186" i="1"/>
  <c r="F185" i="1"/>
  <c r="D185" i="1"/>
  <c r="F184" i="1"/>
  <c r="D184" i="1"/>
  <c r="F183" i="1"/>
  <c r="D183" i="1"/>
  <c r="F182" i="1"/>
  <c r="D182" i="1"/>
  <c r="F181" i="1"/>
  <c r="D181" i="1"/>
  <c r="F180" i="1"/>
  <c r="D180" i="1"/>
  <c r="F179" i="1"/>
  <c r="D179" i="1"/>
  <c r="F178" i="1"/>
  <c r="D178" i="1"/>
  <c r="F177" i="1"/>
  <c r="D177" i="1"/>
  <c r="F176" i="1"/>
  <c r="D176" i="1"/>
  <c r="F175" i="1"/>
  <c r="D175" i="1"/>
  <c r="F174" i="1"/>
  <c r="D174" i="1"/>
  <c r="F173" i="1"/>
  <c r="D173" i="1"/>
  <c r="F172" i="1"/>
  <c r="D172" i="1"/>
  <c r="F171" i="1"/>
  <c r="D171" i="1"/>
  <c r="F170" i="1"/>
  <c r="D170" i="1"/>
  <c r="F169" i="1"/>
  <c r="D169" i="1"/>
  <c r="F168" i="1"/>
  <c r="D168" i="1"/>
  <c r="F167" i="1"/>
  <c r="D167" i="1"/>
  <c r="F166" i="1"/>
  <c r="D166" i="1"/>
  <c r="F165" i="1"/>
  <c r="D165" i="1"/>
  <c r="F164" i="1"/>
  <c r="D164" i="1"/>
  <c r="F163" i="1"/>
  <c r="D163" i="1"/>
  <c r="F162" i="1"/>
  <c r="D162" i="1"/>
  <c r="F161" i="1"/>
  <c r="D161" i="1"/>
  <c r="F160" i="1"/>
  <c r="D160" i="1"/>
  <c r="F159" i="1"/>
  <c r="D159" i="1"/>
  <c r="F158" i="1"/>
  <c r="D158" i="1"/>
  <c r="F157" i="1"/>
  <c r="D157" i="1"/>
  <c r="F156" i="1"/>
  <c r="D156" i="1"/>
  <c r="F155" i="1"/>
  <c r="D155" i="1"/>
  <c r="F154" i="1"/>
  <c r="D154" i="1"/>
  <c r="F153" i="1"/>
  <c r="D153" i="1"/>
  <c r="F152" i="1"/>
  <c r="D152" i="1"/>
  <c r="F151" i="1"/>
  <c r="D151" i="1"/>
  <c r="F150" i="1"/>
  <c r="D150" i="1"/>
  <c r="F149" i="1"/>
  <c r="D149" i="1"/>
  <c r="F148" i="1"/>
  <c r="D148" i="1"/>
  <c r="F147" i="1"/>
  <c r="D147" i="1"/>
  <c r="F146" i="1"/>
  <c r="D146" i="1"/>
  <c r="F145" i="1"/>
  <c r="D145" i="1"/>
  <c r="F144" i="1"/>
  <c r="D144" i="1"/>
  <c r="F143" i="1"/>
  <c r="D143" i="1"/>
  <c r="F142" i="1"/>
  <c r="D142" i="1"/>
  <c r="F141" i="1"/>
  <c r="D141" i="1"/>
  <c r="F140" i="1"/>
  <c r="D140" i="1"/>
  <c r="F139" i="1"/>
  <c r="D139" i="1"/>
  <c r="F138" i="1"/>
  <c r="D138" i="1"/>
  <c r="F137" i="1"/>
  <c r="D137" i="1"/>
  <c r="F136" i="1"/>
  <c r="D136" i="1"/>
  <c r="F135" i="1"/>
  <c r="D135" i="1"/>
  <c r="F134" i="1"/>
  <c r="D134" i="1"/>
  <c r="F133" i="1"/>
  <c r="D133" i="1"/>
  <c r="F132" i="1"/>
  <c r="D132" i="1"/>
  <c r="F131" i="1"/>
  <c r="D131" i="1"/>
  <c r="F130" i="1"/>
  <c r="D130" i="1"/>
  <c r="F129" i="1"/>
  <c r="D129" i="1"/>
  <c r="F128" i="1"/>
  <c r="D128" i="1"/>
  <c r="F127" i="1"/>
  <c r="D127" i="1"/>
  <c r="F126" i="1"/>
  <c r="D126" i="1"/>
  <c r="F125" i="1"/>
  <c r="D125" i="1"/>
  <c r="F124" i="1"/>
  <c r="D124" i="1"/>
  <c r="F123" i="1"/>
  <c r="D123" i="1"/>
  <c r="F122" i="1"/>
  <c r="D122" i="1"/>
  <c r="F121" i="1"/>
  <c r="D121" i="1"/>
  <c r="F120" i="1"/>
  <c r="D120" i="1"/>
  <c r="F119" i="1"/>
  <c r="D119" i="1"/>
  <c r="F118" i="1"/>
  <c r="D118" i="1"/>
  <c r="F117" i="1"/>
  <c r="D117" i="1"/>
  <c r="F116" i="1"/>
  <c r="D116" i="1"/>
  <c r="F115" i="1"/>
  <c r="D115" i="1"/>
  <c r="F114" i="1"/>
  <c r="D114" i="1"/>
  <c r="F113" i="1"/>
  <c r="D113" i="1"/>
  <c r="F112" i="1"/>
  <c r="D112" i="1"/>
  <c r="F111" i="1"/>
  <c r="D111" i="1"/>
  <c r="F110" i="1"/>
  <c r="D110" i="1"/>
  <c r="F109" i="1"/>
  <c r="D109" i="1"/>
  <c r="F108" i="1"/>
  <c r="D108" i="1"/>
  <c r="F107" i="1"/>
  <c r="D107" i="1"/>
  <c r="F106" i="1"/>
  <c r="D106" i="1"/>
  <c r="F105" i="1"/>
  <c r="D105" i="1"/>
  <c r="F104" i="1"/>
  <c r="D104" i="1"/>
  <c r="F103" i="1"/>
  <c r="D103" i="1"/>
  <c r="F102" i="1"/>
  <c r="D102" i="1"/>
  <c r="F101" i="1"/>
  <c r="D101" i="1"/>
  <c r="F100" i="1"/>
  <c r="D100" i="1"/>
  <c r="F99" i="1"/>
  <c r="D99" i="1"/>
  <c r="F98" i="1"/>
  <c r="D98" i="1"/>
  <c r="F97" i="1"/>
  <c r="D97" i="1"/>
  <c r="F96" i="1"/>
  <c r="D96" i="1"/>
  <c r="F95" i="1"/>
  <c r="D95" i="1"/>
  <c r="F94" i="1"/>
  <c r="D94" i="1"/>
  <c r="F93" i="1"/>
  <c r="D93" i="1"/>
  <c r="F92" i="1"/>
  <c r="D92" i="1"/>
  <c r="F91" i="1"/>
  <c r="D91" i="1"/>
  <c r="F90" i="1"/>
  <c r="D90" i="1"/>
  <c r="F89" i="1"/>
  <c r="D89" i="1"/>
  <c r="F88" i="1"/>
  <c r="D88" i="1"/>
  <c r="F87" i="1"/>
  <c r="D87" i="1"/>
  <c r="F86" i="1"/>
  <c r="D86" i="1"/>
  <c r="F85" i="1"/>
  <c r="D85" i="1"/>
  <c r="F84" i="1"/>
  <c r="D84" i="1"/>
  <c r="F83" i="1"/>
  <c r="D83" i="1"/>
  <c r="F82" i="1"/>
  <c r="D82" i="1"/>
  <c r="F81" i="1"/>
  <c r="D81" i="1"/>
  <c r="F80" i="1"/>
  <c r="D80" i="1"/>
  <c r="F79" i="1"/>
  <c r="D79" i="1"/>
  <c r="F78" i="1"/>
  <c r="D78" i="1"/>
  <c r="F77" i="1"/>
  <c r="D77" i="1"/>
  <c r="F76" i="1"/>
  <c r="D76" i="1"/>
  <c r="F75" i="1"/>
  <c r="D75" i="1"/>
  <c r="F74" i="1"/>
  <c r="D74" i="1"/>
  <c r="F73" i="1"/>
  <c r="D73" i="1"/>
  <c r="F72" i="1"/>
  <c r="D72" i="1"/>
  <c r="F71" i="1"/>
  <c r="D71" i="1"/>
  <c r="F70" i="1"/>
  <c r="D70" i="1"/>
  <c r="F69" i="1"/>
  <c r="D69" i="1"/>
  <c r="F68" i="1"/>
  <c r="D68" i="1"/>
  <c r="F67" i="1"/>
  <c r="D67" i="1"/>
  <c r="F66" i="1"/>
  <c r="D66" i="1"/>
  <c r="F65" i="1"/>
  <c r="D65" i="1"/>
  <c r="F64" i="1"/>
  <c r="D64" i="1"/>
  <c r="F63" i="1"/>
  <c r="D63" i="1"/>
  <c r="F62" i="1"/>
  <c r="D62" i="1"/>
  <c r="F61" i="1"/>
  <c r="D61" i="1"/>
  <c r="F60" i="1"/>
  <c r="D60" i="1"/>
  <c r="F59" i="1"/>
  <c r="D59" i="1"/>
  <c r="F58" i="1"/>
  <c r="D58" i="1"/>
  <c r="F57" i="1"/>
  <c r="D57" i="1"/>
  <c r="F56" i="1"/>
  <c r="D56" i="1"/>
  <c r="F55" i="1"/>
  <c r="D55" i="1"/>
  <c r="F54" i="1"/>
  <c r="D54" i="1"/>
  <c r="F53" i="1"/>
  <c r="D53" i="1"/>
  <c r="F52" i="1"/>
  <c r="D52" i="1"/>
  <c r="F51" i="1"/>
  <c r="D51" i="1"/>
  <c r="F50" i="1"/>
  <c r="D50" i="1"/>
  <c r="F49" i="1"/>
  <c r="D49" i="1"/>
  <c r="F48" i="1"/>
  <c r="D48" i="1"/>
  <c r="F47" i="1"/>
  <c r="D47" i="1"/>
  <c r="F46" i="1"/>
  <c r="D46" i="1"/>
  <c r="F45" i="1"/>
  <c r="D45" i="1"/>
  <c r="F44" i="1"/>
  <c r="D44" i="1"/>
  <c r="F43" i="1"/>
  <c r="D43" i="1"/>
  <c r="F42" i="1"/>
  <c r="D42" i="1"/>
  <c r="F41" i="1"/>
  <c r="D41" i="1"/>
  <c r="F40" i="1"/>
  <c r="D40" i="1"/>
  <c r="F39" i="1"/>
  <c r="D39" i="1"/>
  <c r="F38" i="1"/>
  <c r="D38" i="1"/>
  <c r="F37" i="1"/>
  <c r="D37" i="1"/>
  <c r="F36" i="1"/>
  <c r="D36" i="1"/>
  <c r="F35" i="1"/>
  <c r="D35" i="1"/>
  <c r="F34" i="1"/>
  <c r="D34" i="1"/>
  <c r="F33" i="1"/>
  <c r="D33" i="1"/>
  <c r="F32" i="1"/>
  <c r="D32" i="1"/>
  <c r="F31" i="1"/>
  <c r="D31" i="1"/>
  <c r="F30" i="1"/>
  <c r="D30" i="1"/>
  <c r="F29" i="1"/>
  <c r="D29" i="1"/>
  <c r="F28" i="1"/>
  <c r="D28" i="1"/>
  <c r="F27" i="1"/>
  <c r="D27" i="1"/>
  <c r="F26" i="1"/>
  <c r="D26" i="1"/>
  <c r="F25" i="1"/>
  <c r="D25" i="1"/>
  <c r="F24" i="1"/>
  <c r="D24" i="1"/>
  <c r="F23" i="1"/>
  <c r="D23" i="1"/>
  <c r="F22" i="1"/>
  <c r="D22" i="1"/>
  <c r="F21" i="1"/>
  <c r="D21" i="1"/>
  <c r="F20" i="1"/>
  <c r="D20" i="1"/>
  <c r="F19" i="1"/>
  <c r="D19" i="1"/>
  <c r="F18" i="1"/>
  <c r="D18" i="1"/>
  <c r="F17" i="1"/>
  <c r="D17" i="1"/>
  <c r="F16" i="1"/>
  <c r="D16" i="1"/>
  <c r="F15" i="1"/>
  <c r="D15" i="1"/>
  <c r="F14" i="1"/>
  <c r="D14" i="1"/>
  <c r="F13" i="1"/>
  <c r="D13" i="1"/>
  <c r="F12" i="1"/>
  <c r="D12" i="1"/>
  <c r="F11" i="1"/>
  <c r="D11" i="1"/>
  <c r="F10" i="1"/>
  <c r="D10" i="1"/>
  <c r="F9" i="1"/>
  <c r="D9" i="1"/>
  <c r="F8" i="1"/>
  <c r="D8" i="1"/>
  <c r="F7" i="1"/>
  <c r="D7" i="1"/>
  <c r="F6" i="1"/>
  <c r="D6" i="1"/>
  <c r="F5" i="1"/>
  <c r="D5" i="1"/>
  <c r="F4" i="1"/>
  <c r="D4" i="1"/>
  <c r="F3" i="1"/>
  <c r="D3" i="1"/>
</calcChain>
</file>

<file path=xl/sharedStrings.xml><?xml version="1.0" encoding="utf-8"?>
<sst xmlns="http://schemas.openxmlformats.org/spreadsheetml/2006/main" count="498" uniqueCount="257">
  <si>
    <t xml:space="preserve">2023 ANNUAL MEETING - AUSTRALIAN BALLOT VOTER TURNOUT STATISTICS </t>
  </si>
  <si>
    <t>Town or City</t>
  </si>
  <si>
    <t>How many voters were on your TM checklist on the date of your Town Meeting?</t>
  </si>
  <si>
    <t>How many people voted (include absentee ballot)?</t>
  </si>
  <si>
    <t>Turnout (%)</t>
  </si>
  <si>
    <t>How many voted by absentee ballot?</t>
  </si>
  <si>
    <t xml:space="preserve">Absentee Ballot Turnout (%) </t>
  </si>
  <si>
    <t xml:space="preserve">Was a ballot mailed to every active registered voter? (Y/N) </t>
  </si>
  <si>
    <t>Addison</t>
  </si>
  <si>
    <t>No</t>
  </si>
  <si>
    <t>Albany</t>
  </si>
  <si>
    <t>Alburgh</t>
  </si>
  <si>
    <t>Andover</t>
  </si>
  <si>
    <t>Arlington</t>
  </si>
  <si>
    <t>Athens</t>
  </si>
  <si>
    <t>Bakersfield</t>
  </si>
  <si>
    <t>Baltimore</t>
  </si>
  <si>
    <t>Barnard</t>
  </si>
  <si>
    <t>Barnet</t>
  </si>
  <si>
    <t>Barre City</t>
  </si>
  <si>
    <t>Barre Town</t>
  </si>
  <si>
    <t>Barton</t>
  </si>
  <si>
    <t>Belvidere</t>
  </si>
  <si>
    <t>Bennington</t>
  </si>
  <si>
    <t>Benson</t>
  </si>
  <si>
    <t>Berkshire</t>
  </si>
  <si>
    <t>Berlin</t>
  </si>
  <si>
    <t>Bethel</t>
  </si>
  <si>
    <t>Bloomfield</t>
  </si>
  <si>
    <t>Bolton</t>
  </si>
  <si>
    <t>Bradford</t>
  </si>
  <si>
    <t>Braintree</t>
  </si>
  <si>
    <t>Brandon</t>
  </si>
  <si>
    <t>Yes</t>
  </si>
  <si>
    <t>Brattleboro</t>
  </si>
  <si>
    <t>Bridgewater</t>
  </si>
  <si>
    <t>Bridport</t>
  </si>
  <si>
    <t>Brighton</t>
  </si>
  <si>
    <t>Bristol</t>
  </si>
  <si>
    <t>Brookfield</t>
  </si>
  <si>
    <t>Brookline</t>
  </si>
  <si>
    <t>Brownington</t>
  </si>
  <si>
    <t>Brunswick</t>
  </si>
  <si>
    <t>Burke</t>
  </si>
  <si>
    <t>Burlington</t>
  </si>
  <si>
    <t>Cabot</t>
  </si>
  <si>
    <t>Calais</t>
  </si>
  <si>
    <t>Cambridge</t>
  </si>
  <si>
    <t>Canaan</t>
  </si>
  <si>
    <t>Castleton</t>
  </si>
  <si>
    <t>Cavendish</t>
  </si>
  <si>
    <t>Charleston</t>
  </si>
  <si>
    <t>Charlotte</t>
  </si>
  <si>
    <t>Chelsea</t>
  </si>
  <si>
    <t>Chester</t>
  </si>
  <si>
    <t>Chittenden</t>
  </si>
  <si>
    <t>Clarendon</t>
  </si>
  <si>
    <t>Colchester</t>
  </si>
  <si>
    <t>Concord</t>
  </si>
  <si>
    <t>Corinth</t>
  </si>
  <si>
    <t>Cornwall</t>
  </si>
  <si>
    <t>Coventry</t>
  </si>
  <si>
    <t>Craftsbury</t>
  </si>
  <si>
    <t>Danby</t>
  </si>
  <si>
    <t>Danville</t>
  </si>
  <si>
    <t>Derby</t>
  </si>
  <si>
    <t>Dorset</t>
  </si>
  <si>
    <t>Dover</t>
  </si>
  <si>
    <t>Dummerston</t>
  </si>
  <si>
    <t>Duxbury</t>
  </si>
  <si>
    <t>East Haven</t>
  </si>
  <si>
    <t>East Montpelier</t>
  </si>
  <si>
    <t>Eden</t>
  </si>
  <si>
    <t>Elmore</t>
  </si>
  <si>
    <t>Enosburgh</t>
  </si>
  <si>
    <t>Essex Junction City</t>
  </si>
  <si>
    <t>Essex Town</t>
  </si>
  <si>
    <t>Fair Haven</t>
  </si>
  <si>
    <t>Fairfax</t>
  </si>
  <si>
    <t>Fairfield</t>
  </si>
  <si>
    <t>Fairlee</t>
  </si>
  <si>
    <t>Fayston</t>
  </si>
  <si>
    <t>Ferrisburgh</t>
  </si>
  <si>
    <t>Fletcher</t>
  </si>
  <si>
    <t>Franklin</t>
  </si>
  <si>
    <t>Georgia</t>
  </si>
  <si>
    <t>Glover</t>
  </si>
  <si>
    <t>Goshen</t>
  </si>
  <si>
    <t>Grafton</t>
  </si>
  <si>
    <t>Granby</t>
  </si>
  <si>
    <t>Grand Isle</t>
  </si>
  <si>
    <t>Granville</t>
  </si>
  <si>
    <t>Greensboro</t>
  </si>
  <si>
    <t>Groton</t>
  </si>
  <si>
    <t>Guildhall</t>
  </si>
  <si>
    <t>Guilford</t>
  </si>
  <si>
    <t>Halifax</t>
  </si>
  <si>
    <t>Hancock</t>
  </si>
  <si>
    <t>Hardwick</t>
  </si>
  <si>
    <t>Hartford</t>
  </si>
  <si>
    <t>Hartland</t>
  </si>
  <si>
    <t>Highgate</t>
  </si>
  <si>
    <t>Hinesburg</t>
  </si>
  <si>
    <t>Holland</t>
  </si>
  <si>
    <t>Hubbardton</t>
  </si>
  <si>
    <t>Huntington</t>
  </si>
  <si>
    <t>Hyde Park</t>
  </si>
  <si>
    <t xml:space="preserve">Ira </t>
  </si>
  <si>
    <t>Irasburg</t>
  </si>
  <si>
    <t>Isle La Motte</t>
  </si>
  <si>
    <t>Jamaica</t>
  </si>
  <si>
    <t>Jay</t>
  </si>
  <si>
    <t>Jericho</t>
  </si>
  <si>
    <t>Johnson</t>
  </si>
  <si>
    <t>Killington</t>
  </si>
  <si>
    <t>Kirby</t>
  </si>
  <si>
    <t>Landgrove</t>
  </si>
  <si>
    <t>Leicester</t>
  </si>
  <si>
    <t>Lemington</t>
  </si>
  <si>
    <t>Lincoln</t>
  </si>
  <si>
    <t>Londonderry</t>
  </si>
  <si>
    <t>Lowell</t>
  </si>
  <si>
    <t>Ludlow</t>
  </si>
  <si>
    <t>Lunenburg</t>
  </si>
  <si>
    <t>Lyndon</t>
  </si>
  <si>
    <t>Maidstone</t>
  </si>
  <si>
    <t>Manchester</t>
  </si>
  <si>
    <t>Marlboro</t>
  </si>
  <si>
    <t>Marshfield</t>
  </si>
  <si>
    <t>Mendon</t>
  </si>
  <si>
    <t>Middlebury</t>
  </si>
  <si>
    <t>Middlesex</t>
  </si>
  <si>
    <t>Middletown Springs</t>
  </si>
  <si>
    <t>Milton</t>
  </si>
  <si>
    <t>Monkton</t>
  </si>
  <si>
    <t>Montgomery</t>
  </si>
  <si>
    <t>Montpelier</t>
  </si>
  <si>
    <t>Moretown</t>
  </si>
  <si>
    <t>Morgan</t>
  </si>
  <si>
    <t>Morristown</t>
  </si>
  <si>
    <t>Mount Holly</t>
  </si>
  <si>
    <t>Mount Tabor</t>
  </si>
  <si>
    <t>New Haven</t>
  </si>
  <si>
    <t>Newark</t>
  </si>
  <si>
    <t>Newbury</t>
  </si>
  <si>
    <t>Newfane</t>
  </si>
  <si>
    <t>Newport City</t>
  </si>
  <si>
    <t>Newport Town</t>
  </si>
  <si>
    <t>North Hero</t>
  </si>
  <si>
    <t>Northfield</t>
  </si>
  <si>
    <t>Norton</t>
  </si>
  <si>
    <t>Norwich</t>
  </si>
  <si>
    <t>Orange</t>
  </si>
  <si>
    <t>Orwell</t>
  </si>
  <si>
    <t>Panton</t>
  </si>
  <si>
    <t>Pawlet</t>
  </si>
  <si>
    <t>Peacham</t>
  </si>
  <si>
    <t>Peru</t>
  </si>
  <si>
    <t>Pittsfield</t>
  </si>
  <si>
    <t>Pittsford</t>
  </si>
  <si>
    <t>Plainfield</t>
  </si>
  <si>
    <t>Plymouth</t>
  </si>
  <si>
    <t>Pomfret</t>
  </si>
  <si>
    <t>Poultney</t>
  </si>
  <si>
    <t>Pownal</t>
  </si>
  <si>
    <t>Proctor</t>
  </si>
  <si>
    <t>Putney</t>
  </si>
  <si>
    <t>Randolph</t>
  </si>
  <si>
    <t>Reading</t>
  </si>
  <si>
    <t>Readsboro</t>
  </si>
  <si>
    <t>Richford</t>
  </si>
  <si>
    <t>Richmond</t>
  </si>
  <si>
    <t>Ripton</t>
  </si>
  <si>
    <t>Rochester</t>
  </si>
  <si>
    <t>Rockingham</t>
  </si>
  <si>
    <t>Roxbury</t>
  </si>
  <si>
    <t>Royalton</t>
  </si>
  <si>
    <t>Rupert</t>
  </si>
  <si>
    <t>Rutland City</t>
  </si>
  <si>
    <t>Rutland Town</t>
  </si>
  <si>
    <t>Ryegate</t>
  </si>
  <si>
    <t>Saint Albans City</t>
  </si>
  <si>
    <t>Saint Albans Town</t>
  </si>
  <si>
    <t>Saint George</t>
  </si>
  <si>
    <t>Saint Johnsbury</t>
  </si>
  <si>
    <t>Salisbury</t>
  </si>
  <si>
    <t>Sandgate</t>
  </si>
  <si>
    <t>Searsburg</t>
  </si>
  <si>
    <t>Shaftsbury</t>
  </si>
  <si>
    <t>Sharon</t>
  </si>
  <si>
    <t>Sheffield</t>
  </si>
  <si>
    <t>Shelburne</t>
  </si>
  <si>
    <t>Sheldon</t>
  </si>
  <si>
    <t>Shoreham</t>
  </si>
  <si>
    <t>Shrewsbury</t>
  </si>
  <si>
    <t>South Burlington</t>
  </si>
  <si>
    <t>South Hero</t>
  </si>
  <si>
    <t>Springfield</t>
  </si>
  <si>
    <t>Stamford</t>
  </si>
  <si>
    <t>Stannard</t>
  </si>
  <si>
    <t>Starksboro</t>
  </si>
  <si>
    <t>Stockbridge</t>
  </si>
  <si>
    <t>Stowe</t>
  </si>
  <si>
    <t>Strafford</t>
  </si>
  <si>
    <t>Stratton</t>
  </si>
  <si>
    <t>Sudbury</t>
  </si>
  <si>
    <t>Sunderland</t>
  </si>
  <si>
    <t>Sutton</t>
  </si>
  <si>
    <t>Swanton</t>
  </si>
  <si>
    <t>Thetford</t>
  </si>
  <si>
    <t>Tinmouth</t>
  </si>
  <si>
    <t>Topsham</t>
  </si>
  <si>
    <t>Townshend</t>
  </si>
  <si>
    <t>Troy</t>
  </si>
  <si>
    <t>Tunbridge</t>
  </si>
  <si>
    <t>Underihill</t>
  </si>
  <si>
    <t>Vergennes</t>
  </si>
  <si>
    <t>Vernon</t>
  </si>
  <si>
    <t>Vershire</t>
  </si>
  <si>
    <t>Victory</t>
  </si>
  <si>
    <t>Waitsfield</t>
  </si>
  <si>
    <t>Walden</t>
  </si>
  <si>
    <t>Wallingford</t>
  </si>
  <si>
    <t>Waltham</t>
  </si>
  <si>
    <t>Wardsboro</t>
  </si>
  <si>
    <t>Warren</t>
  </si>
  <si>
    <t>Washington</t>
  </si>
  <si>
    <t>Waterbury</t>
  </si>
  <si>
    <t>Waterford</t>
  </si>
  <si>
    <t>Waterville</t>
  </si>
  <si>
    <t>Weathersfield</t>
  </si>
  <si>
    <t>Wells</t>
  </si>
  <si>
    <t>West Fairlee</t>
  </si>
  <si>
    <t>West Haven</t>
  </si>
  <si>
    <t>West Rutland</t>
  </si>
  <si>
    <t>West Windsor</t>
  </si>
  <si>
    <t>Westfield</t>
  </si>
  <si>
    <t>Westford</t>
  </si>
  <si>
    <t>Westminster</t>
  </si>
  <si>
    <t>Westmore</t>
  </si>
  <si>
    <t>Weston</t>
  </si>
  <si>
    <t>Weybridge</t>
  </si>
  <si>
    <t>Wheelock</t>
  </si>
  <si>
    <t>Whiting</t>
  </si>
  <si>
    <t>Whitingham</t>
  </si>
  <si>
    <t>Williamstown</t>
  </si>
  <si>
    <t>Williston</t>
  </si>
  <si>
    <t>Wilmington</t>
  </si>
  <si>
    <t>Windham</t>
  </si>
  <si>
    <t>Windsor</t>
  </si>
  <si>
    <t>Winhall</t>
  </si>
  <si>
    <t>Winooski</t>
  </si>
  <si>
    <t>Wolcott</t>
  </si>
  <si>
    <t>Woodbury</t>
  </si>
  <si>
    <t>Woodford</t>
  </si>
  <si>
    <t>Woodstock</t>
  </si>
  <si>
    <t>Worcester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</si>
</sst>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4"/>
      <color indexed="8"/>
      <name val="Times New Roman"/>
      <family val="1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DBD6C-0504-45C3-8075-1BC60D45690B}">
  <dimension ref="A1:G249"/>
  <sheetViews>
    <sheetView tabSelected="1" workbookViewId="0">
      <selection activeCell="I4" sqref="I4"/>
    </sheetView>
  </sheetViews>
  <sheetFormatPr defaultRowHeight="15" x14ac:dyDescent="0.25"/>
  <cols>
    <col min="1" max="1" width="18.28515625" customWidth="1"/>
    <col min="2" max="2" width="27.7109375" customWidth="1"/>
    <col min="3" max="3" width="18.140625" customWidth="1"/>
    <col min="4" max="6" width="18.28515625" customWidth="1"/>
    <col min="7" max="7" width="27.42578125" customWidth="1"/>
  </cols>
  <sheetData>
    <row r="1" spans="1:7" ht="22.5" x14ac:dyDescent="0.25">
      <c r="A1" s="1" t="s">
        <v>0</v>
      </c>
      <c r="B1" s="1"/>
      <c r="C1" s="1"/>
      <c r="D1" s="1"/>
      <c r="E1" s="1"/>
      <c r="F1" s="1"/>
      <c r="G1" s="2"/>
    </row>
    <row r="2" spans="1:7" ht="93.7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t="s">
        <v>8</v>
      </c>
      <c r="B3" s="4">
        <v>1166</v>
      </c>
      <c r="C3" s="4">
        <v>259</v>
      </c>
      <c r="D3" s="5">
        <f>C3/B3</f>
        <v>0.2221269296740995</v>
      </c>
      <c r="E3" s="4">
        <v>21</v>
      </c>
      <c r="F3" s="5">
        <f>E3/C3</f>
        <v>8.1081081081081086E-2</v>
      </c>
      <c r="G3" s="4" t="s">
        <v>9</v>
      </c>
    </row>
    <row r="4" spans="1:7" x14ac:dyDescent="0.25">
      <c r="A4" t="s">
        <v>10</v>
      </c>
      <c r="B4" s="4">
        <v>681</v>
      </c>
      <c r="C4" s="4">
        <v>68</v>
      </c>
      <c r="D4" s="5">
        <f>C4/B4</f>
        <v>9.9853157121879588E-2</v>
      </c>
      <c r="E4" s="4">
        <v>0</v>
      </c>
      <c r="F4" s="5">
        <f t="shared" ref="F4:F67" si="0">E4/C4</f>
        <v>0</v>
      </c>
      <c r="G4" s="4" t="s">
        <v>9</v>
      </c>
    </row>
    <row r="5" spans="1:7" x14ac:dyDescent="0.25">
      <c r="A5" t="s">
        <v>11</v>
      </c>
      <c r="B5" s="4">
        <v>1486</v>
      </c>
      <c r="C5" s="4">
        <v>326</v>
      </c>
      <c r="D5" s="5">
        <f t="shared" ref="D5:D68" si="1">C5/B5</f>
        <v>0.21938088829071331</v>
      </c>
      <c r="E5" s="4">
        <v>0</v>
      </c>
      <c r="F5" s="5">
        <f t="shared" si="0"/>
        <v>0</v>
      </c>
      <c r="G5" s="4" t="s">
        <v>9</v>
      </c>
    </row>
    <row r="6" spans="1:7" x14ac:dyDescent="0.25">
      <c r="A6" t="s">
        <v>12</v>
      </c>
      <c r="B6" s="4">
        <v>401</v>
      </c>
      <c r="C6" s="4">
        <v>63</v>
      </c>
      <c r="D6" s="5">
        <f t="shared" si="1"/>
        <v>0.15710723192019951</v>
      </c>
      <c r="E6" s="4">
        <v>0</v>
      </c>
      <c r="F6" s="5">
        <f t="shared" si="0"/>
        <v>0</v>
      </c>
      <c r="G6" s="4" t="s">
        <v>9</v>
      </c>
    </row>
    <row r="7" spans="1:7" x14ac:dyDescent="0.25">
      <c r="A7" t="s">
        <v>13</v>
      </c>
      <c r="B7" s="4">
        <v>1939</v>
      </c>
      <c r="C7" s="4">
        <v>402</v>
      </c>
      <c r="D7" s="5">
        <f t="shared" si="1"/>
        <v>0.20732336255801959</v>
      </c>
      <c r="E7" s="4">
        <v>68</v>
      </c>
      <c r="F7" s="5">
        <f t="shared" si="0"/>
        <v>0.1691542288557214</v>
      </c>
      <c r="G7" s="4" t="s">
        <v>9</v>
      </c>
    </row>
    <row r="8" spans="1:7" x14ac:dyDescent="0.25">
      <c r="A8" t="s">
        <v>14</v>
      </c>
      <c r="B8" s="4">
        <v>291</v>
      </c>
      <c r="C8" s="4">
        <v>98</v>
      </c>
      <c r="D8" s="5">
        <f t="shared" si="1"/>
        <v>0.33676975945017185</v>
      </c>
      <c r="E8" s="4">
        <v>18</v>
      </c>
      <c r="F8" s="5">
        <f t="shared" si="0"/>
        <v>0.18367346938775511</v>
      </c>
      <c r="G8" s="4" t="s">
        <v>9</v>
      </c>
    </row>
    <row r="9" spans="1:7" x14ac:dyDescent="0.25">
      <c r="A9" t="s">
        <v>15</v>
      </c>
      <c r="B9" s="4">
        <v>975</v>
      </c>
      <c r="C9" s="4">
        <v>211</v>
      </c>
      <c r="D9" s="5">
        <f t="shared" si="1"/>
        <v>0.21641025641025641</v>
      </c>
      <c r="E9" s="4">
        <v>14</v>
      </c>
      <c r="F9" s="5">
        <f t="shared" si="0"/>
        <v>6.6350710900473939E-2</v>
      </c>
      <c r="G9" s="4" t="s">
        <v>9</v>
      </c>
    </row>
    <row r="10" spans="1:7" x14ac:dyDescent="0.25">
      <c r="A10" t="s">
        <v>16</v>
      </c>
      <c r="B10" s="4">
        <v>198</v>
      </c>
      <c r="C10" s="4">
        <v>22</v>
      </c>
      <c r="D10" s="5">
        <f t="shared" si="1"/>
        <v>0.1111111111111111</v>
      </c>
      <c r="E10" s="4">
        <v>0</v>
      </c>
      <c r="F10" s="5">
        <f t="shared" si="0"/>
        <v>0</v>
      </c>
      <c r="G10" s="4" t="s">
        <v>9</v>
      </c>
    </row>
    <row r="11" spans="1:7" x14ac:dyDescent="0.25">
      <c r="A11" t="s">
        <v>17</v>
      </c>
      <c r="B11" s="4">
        <v>721</v>
      </c>
      <c r="C11" s="4">
        <v>83</v>
      </c>
      <c r="D11" s="5">
        <f t="shared" si="1"/>
        <v>0.11511789181692095</v>
      </c>
      <c r="E11" s="4">
        <v>1</v>
      </c>
      <c r="F11" s="5">
        <f t="shared" si="0"/>
        <v>1.2048192771084338E-2</v>
      </c>
      <c r="G11" s="4" t="s">
        <v>9</v>
      </c>
    </row>
    <row r="12" spans="1:7" x14ac:dyDescent="0.25">
      <c r="A12" t="s">
        <v>18</v>
      </c>
      <c r="B12" s="4">
        <v>1460</v>
      </c>
      <c r="C12" s="4">
        <v>90</v>
      </c>
      <c r="D12" s="5">
        <f t="shared" si="1"/>
        <v>6.1643835616438353E-2</v>
      </c>
      <c r="E12" s="4">
        <v>0</v>
      </c>
      <c r="F12" s="5">
        <f t="shared" si="0"/>
        <v>0</v>
      </c>
      <c r="G12" s="4" t="s">
        <v>9</v>
      </c>
    </row>
    <row r="13" spans="1:7" x14ac:dyDescent="0.25">
      <c r="A13" t="s">
        <v>19</v>
      </c>
      <c r="B13" s="4">
        <v>5906</v>
      </c>
      <c r="C13" s="4">
        <v>1247</v>
      </c>
      <c r="D13" s="5">
        <f t="shared" si="1"/>
        <v>0.21114121232644767</v>
      </c>
      <c r="E13" s="4">
        <v>518</v>
      </c>
      <c r="F13" s="5">
        <f t="shared" si="0"/>
        <v>0.4153969526864475</v>
      </c>
      <c r="G13" s="4" t="s">
        <v>9</v>
      </c>
    </row>
    <row r="14" spans="1:7" x14ac:dyDescent="0.25">
      <c r="A14" t="s">
        <v>20</v>
      </c>
      <c r="B14" s="4">
        <v>6324</v>
      </c>
      <c r="C14" s="4">
        <v>1290</v>
      </c>
      <c r="D14" s="5">
        <f t="shared" si="1"/>
        <v>0.20398481973434535</v>
      </c>
      <c r="E14" s="4">
        <v>801</v>
      </c>
      <c r="F14" s="5">
        <f t="shared" si="0"/>
        <v>0.62093023255813951</v>
      </c>
      <c r="G14" s="4" t="s">
        <v>9</v>
      </c>
    </row>
    <row r="15" spans="1:7" x14ac:dyDescent="0.25">
      <c r="A15" t="s">
        <v>21</v>
      </c>
      <c r="B15" s="4">
        <v>2154</v>
      </c>
      <c r="C15" s="4">
        <v>86</v>
      </c>
      <c r="D15" s="5">
        <f t="shared" si="1"/>
        <v>3.9925719591457756E-2</v>
      </c>
      <c r="E15" s="4">
        <v>0</v>
      </c>
      <c r="F15" s="5">
        <f t="shared" si="0"/>
        <v>0</v>
      </c>
      <c r="G15" s="4" t="s">
        <v>9</v>
      </c>
    </row>
    <row r="16" spans="1:7" x14ac:dyDescent="0.25">
      <c r="A16" t="s">
        <v>22</v>
      </c>
      <c r="B16" s="4">
        <v>270</v>
      </c>
      <c r="C16" s="4">
        <v>41</v>
      </c>
      <c r="D16" s="5">
        <f t="shared" si="1"/>
        <v>0.15185185185185185</v>
      </c>
      <c r="E16" s="4">
        <v>0</v>
      </c>
      <c r="F16" s="5">
        <f t="shared" si="0"/>
        <v>0</v>
      </c>
      <c r="G16" s="4" t="s">
        <v>9</v>
      </c>
    </row>
    <row r="17" spans="1:7" x14ac:dyDescent="0.25">
      <c r="A17" t="s">
        <v>23</v>
      </c>
      <c r="B17" s="4">
        <v>9492</v>
      </c>
      <c r="C17" s="4">
        <v>1960</v>
      </c>
      <c r="D17" s="5">
        <f t="shared" si="1"/>
        <v>0.20648967551622419</v>
      </c>
      <c r="E17" s="4">
        <v>403</v>
      </c>
      <c r="F17" s="5">
        <f t="shared" si="0"/>
        <v>0.20561224489795918</v>
      </c>
      <c r="G17" s="4" t="s">
        <v>9</v>
      </c>
    </row>
    <row r="18" spans="1:7" x14ac:dyDescent="0.25">
      <c r="A18" t="s">
        <v>24</v>
      </c>
      <c r="B18" s="4">
        <v>821</v>
      </c>
      <c r="C18" s="4">
        <v>290</v>
      </c>
      <c r="D18" s="5">
        <f t="shared" si="1"/>
        <v>0.35322777101096225</v>
      </c>
      <c r="E18" s="4">
        <v>88</v>
      </c>
      <c r="F18" s="5">
        <f t="shared" si="0"/>
        <v>0.30344827586206896</v>
      </c>
      <c r="G18" s="4" t="s">
        <v>9</v>
      </c>
    </row>
    <row r="19" spans="1:7" x14ac:dyDescent="0.25">
      <c r="A19" t="s">
        <v>25</v>
      </c>
      <c r="B19" s="4">
        <v>1001</v>
      </c>
      <c r="C19" s="4">
        <v>150</v>
      </c>
      <c r="D19" s="5">
        <f t="shared" si="1"/>
        <v>0.14985014985014986</v>
      </c>
      <c r="E19" s="4">
        <v>29</v>
      </c>
      <c r="F19" s="5">
        <f t="shared" si="0"/>
        <v>0.19333333333333333</v>
      </c>
      <c r="G19" s="4" t="s">
        <v>9</v>
      </c>
    </row>
    <row r="20" spans="1:7" x14ac:dyDescent="0.25">
      <c r="A20" t="s">
        <v>26</v>
      </c>
      <c r="B20" s="4">
        <v>2140</v>
      </c>
      <c r="C20" s="4">
        <v>315</v>
      </c>
      <c r="D20" s="5">
        <f t="shared" si="1"/>
        <v>0.14719626168224298</v>
      </c>
      <c r="E20" s="4">
        <v>102</v>
      </c>
      <c r="F20" s="5">
        <f t="shared" si="0"/>
        <v>0.32380952380952382</v>
      </c>
      <c r="G20" s="4" t="s">
        <v>9</v>
      </c>
    </row>
    <row r="21" spans="1:7" x14ac:dyDescent="0.25">
      <c r="A21" t="s">
        <v>27</v>
      </c>
      <c r="B21" s="4">
        <v>1523</v>
      </c>
      <c r="C21" s="4">
        <v>100</v>
      </c>
      <c r="D21" s="5">
        <f t="shared" si="1"/>
        <v>6.5659881812212745E-2</v>
      </c>
      <c r="E21" s="4">
        <v>0</v>
      </c>
      <c r="F21" s="5">
        <f t="shared" si="0"/>
        <v>0</v>
      </c>
      <c r="G21" s="4" t="s">
        <v>9</v>
      </c>
    </row>
    <row r="22" spans="1:7" x14ac:dyDescent="0.25">
      <c r="A22" t="s">
        <v>28</v>
      </c>
      <c r="B22" s="4">
        <v>161</v>
      </c>
      <c r="C22" s="4">
        <v>14</v>
      </c>
      <c r="D22" s="5">
        <f t="shared" si="1"/>
        <v>8.6956521739130432E-2</v>
      </c>
      <c r="E22" s="4">
        <v>0</v>
      </c>
      <c r="F22" s="5">
        <f t="shared" si="0"/>
        <v>0</v>
      </c>
      <c r="G22" s="4" t="s">
        <v>9</v>
      </c>
    </row>
    <row r="23" spans="1:7" x14ac:dyDescent="0.25">
      <c r="A23" t="s">
        <v>29</v>
      </c>
      <c r="B23" s="4">
        <v>1017</v>
      </c>
      <c r="C23" s="4">
        <v>170</v>
      </c>
      <c r="D23" s="5">
        <f t="shared" si="1"/>
        <v>0.16715830875122911</v>
      </c>
      <c r="E23" s="4">
        <v>11</v>
      </c>
      <c r="F23" s="5">
        <f t="shared" si="0"/>
        <v>6.4705882352941183E-2</v>
      </c>
      <c r="G23" s="4" t="s">
        <v>9</v>
      </c>
    </row>
    <row r="24" spans="1:7" x14ac:dyDescent="0.25">
      <c r="A24" t="s">
        <v>30</v>
      </c>
      <c r="B24" s="4">
        <v>2080</v>
      </c>
      <c r="C24" s="4">
        <v>99</v>
      </c>
      <c r="D24" s="5">
        <f t="shared" si="1"/>
        <v>4.7596153846153844E-2</v>
      </c>
      <c r="E24" s="4">
        <v>0</v>
      </c>
      <c r="F24" s="5">
        <f t="shared" si="0"/>
        <v>0</v>
      </c>
      <c r="G24" s="4" t="s">
        <v>9</v>
      </c>
    </row>
    <row r="25" spans="1:7" x14ac:dyDescent="0.25">
      <c r="A25" t="s">
        <v>31</v>
      </c>
      <c r="B25" s="4">
        <v>1015</v>
      </c>
      <c r="C25" s="4">
        <v>45</v>
      </c>
      <c r="D25" s="5">
        <f t="shared" si="1"/>
        <v>4.4334975369458129E-2</v>
      </c>
      <c r="E25" s="4">
        <v>0</v>
      </c>
      <c r="F25" s="5">
        <f t="shared" si="0"/>
        <v>0</v>
      </c>
      <c r="G25" s="4" t="s">
        <v>9</v>
      </c>
    </row>
    <row r="26" spans="1:7" x14ac:dyDescent="0.25">
      <c r="A26" t="s">
        <v>32</v>
      </c>
      <c r="B26" s="4">
        <v>2830</v>
      </c>
      <c r="C26" s="4">
        <v>1117</v>
      </c>
      <c r="D26" s="5">
        <f t="shared" si="1"/>
        <v>0.39469964664310953</v>
      </c>
      <c r="E26" s="4">
        <v>825</v>
      </c>
      <c r="F26" s="5">
        <f t="shared" si="0"/>
        <v>0.73858549686660702</v>
      </c>
      <c r="G26" s="4" t="s">
        <v>33</v>
      </c>
    </row>
    <row r="27" spans="1:7" x14ac:dyDescent="0.25">
      <c r="A27" t="s">
        <v>34</v>
      </c>
      <c r="B27" s="4">
        <v>9580</v>
      </c>
      <c r="C27" s="4">
        <v>2070</v>
      </c>
      <c r="D27" s="5">
        <f t="shared" si="1"/>
        <v>0.21607515657620041</v>
      </c>
      <c r="E27" s="4">
        <v>656</v>
      </c>
      <c r="F27" s="5">
        <f t="shared" si="0"/>
        <v>0.31690821256038648</v>
      </c>
      <c r="G27" s="4" t="s">
        <v>9</v>
      </c>
    </row>
    <row r="28" spans="1:7" x14ac:dyDescent="0.25">
      <c r="A28" t="s">
        <v>35</v>
      </c>
      <c r="B28" s="4">
        <v>732</v>
      </c>
      <c r="C28" s="4">
        <v>129</v>
      </c>
      <c r="D28" s="5">
        <f t="shared" si="1"/>
        <v>0.17622950819672131</v>
      </c>
      <c r="E28" s="4">
        <v>0</v>
      </c>
      <c r="F28" s="5">
        <f t="shared" si="0"/>
        <v>0</v>
      </c>
      <c r="G28" s="4" t="s">
        <v>9</v>
      </c>
    </row>
    <row r="29" spans="1:7" x14ac:dyDescent="0.25">
      <c r="A29" t="s">
        <v>36</v>
      </c>
      <c r="B29" s="4">
        <v>900</v>
      </c>
      <c r="C29" s="4">
        <v>212</v>
      </c>
      <c r="D29" s="5">
        <f t="shared" si="1"/>
        <v>0.23555555555555555</v>
      </c>
      <c r="E29" s="4">
        <v>10</v>
      </c>
      <c r="F29" s="5">
        <f t="shared" si="0"/>
        <v>4.716981132075472E-2</v>
      </c>
      <c r="G29" s="4" t="s">
        <v>9</v>
      </c>
    </row>
    <row r="30" spans="1:7" x14ac:dyDescent="0.25">
      <c r="A30" t="s">
        <v>37</v>
      </c>
      <c r="B30" s="4">
        <v>948</v>
      </c>
      <c r="C30" s="4">
        <v>241</v>
      </c>
      <c r="D30" s="5">
        <f t="shared" si="1"/>
        <v>0.25421940928270043</v>
      </c>
      <c r="E30" s="4">
        <v>15</v>
      </c>
      <c r="F30" s="5">
        <f t="shared" si="0"/>
        <v>6.2240663900414939E-2</v>
      </c>
      <c r="G30" s="4" t="s">
        <v>9</v>
      </c>
    </row>
    <row r="31" spans="1:7" x14ac:dyDescent="0.25">
      <c r="A31" t="s">
        <v>38</v>
      </c>
      <c r="B31" s="4">
        <v>3218</v>
      </c>
      <c r="C31" s="4">
        <v>467</v>
      </c>
      <c r="D31" s="5">
        <f t="shared" si="1"/>
        <v>0.14512119328775638</v>
      </c>
      <c r="E31" s="4">
        <v>51</v>
      </c>
      <c r="F31" s="5">
        <f t="shared" si="0"/>
        <v>0.10920770877944326</v>
      </c>
      <c r="G31" s="4" t="s">
        <v>9</v>
      </c>
    </row>
    <row r="32" spans="1:7" x14ac:dyDescent="0.25">
      <c r="A32" t="s">
        <v>39</v>
      </c>
      <c r="B32" s="4">
        <v>1076</v>
      </c>
      <c r="C32" s="4">
        <v>298</v>
      </c>
      <c r="D32" s="5">
        <f t="shared" si="1"/>
        <v>0.27695167286245354</v>
      </c>
      <c r="E32" s="4">
        <v>39</v>
      </c>
      <c r="F32" s="5">
        <f t="shared" si="0"/>
        <v>0.13087248322147652</v>
      </c>
      <c r="G32" s="4" t="s">
        <v>9</v>
      </c>
    </row>
    <row r="33" spans="1:7" x14ac:dyDescent="0.25">
      <c r="A33" t="s">
        <v>40</v>
      </c>
      <c r="B33" s="4">
        <v>460</v>
      </c>
      <c r="C33" s="4">
        <v>50</v>
      </c>
      <c r="D33" s="5">
        <f t="shared" si="1"/>
        <v>0.10869565217391304</v>
      </c>
      <c r="E33" s="4">
        <v>0</v>
      </c>
      <c r="F33" s="5">
        <f t="shared" si="0"/>
        <v>0</v>
      </c>
      <c r="G33" s="4" t="s">
        <v>9</v>
      </c>
    </row>
    <row r="34" spans="1:7" x14ac:dyDescent="0.25">
      <c r="A34" t="s">
        <v>41</v>
      </c>
      <c r="B34" s="4">
        <v>713</v>
      </c>
      <c r="C34" s="4">
        <v>70</v>
      </c>
      <c r="D34" s="5">
        <f t="shared" si="1"/>
        <v>9.8176718092566617E-2</v>
      </c>
      <c r="E34" s="4">
        <v>0</v>
      </c>
      <c r="F34" s="5">
        <f t="shared" si="0"/>
        <v>0</v>
      </c>
      <c r="G34" s="4" t="s">
        <v>9</v>
      </c>
    </row>
    <row r="35" spans="1:7" x14ac:dyDescent="0.25">
      <c r="A35" t="s">
        <v>42</v>
      </c>
      <c r="B35" s="4">
        <v>75</v>
      </c>
      <c r="C35" s="4">
        <v>30</v>
      </c>
      <c r="D35" s="5">
        <f t="shared" si="1"/>
        <v>0.4</v>
      </c>
      <c r="E35" s="4">
        <v>26</v>
      </c>
      <c r="F35" s="5">
        <f t="shared" si="0"/>
        <v>0.8666666666666667</v>
      </c>
      <c r="G35" s="4" t="s">
        <v>33</v>
      </c>
    </row>
    <row r="36" spans="1:7" x14ac:dyDescent="0.25">
      <c r="A36" t="s">
        <v>43</v>
      </c>
      <c r="B36" s="4">
        <v>1219</v>
      </c>
      <c r="C36" s="4">
        <v>241</v>
      </c>
      <c r="D36" s="5">
        <f t="shared" si="1"/>
        <v>0.19770303527481542</v>
      </c>
      <c r="E36" s="4">
        <v>15</v>
      </c>
      <c r="F36" s="5">
        <f t="shared" si="0"/>
        <v>6.2240663900414939E-2</v>
      </c>
      <c r="G36" s="4" t="s">
        <v>9</v>
      </c>
    </row>
    <row r="37" spans="1:7" x14ac:dyDescent="0.25">
      <c r="A37" t="s">
        <v>44</v>
      </c>
      <c r="B37" s="4">
        <v>35417</v>
      </c>
      <c r="C37" s="4">
        <v>10696</v>
      </c>
      <c r="D37" s="5">
        <f t="shared" si="1"/>
        <v>0.3020018635118728</v>
      </c>
      <c r="E37" s="4">
        <v>7033</v>
      </c>
      <c r="F37" s="5">
        <f t="shared" si="0"/>
        <v>0.65753552729992526</v>
      </c>
      <c r="G37" s="4" t="s">
        <v>33</v>
      </c>
    </row>
    <row r="38" spans="1:7" x14ac:dyDescent="0.25">
      <c r="A38" t="s">
        <v>45</v>
      </c>
      <c r="B38" s="4">
        <v>1157</v>
      </c>
      <c r="C38" s="4">
        <v>418</v>
      </c>
      <c r="D38" s="5">
        <f t="shared" si="1"/>
        <v>0.36127917026793432</v>
      </c>
      <c r="E38" s="4">
        <v>105</v>
      </c>
      <c r="F38" s="5">
        <f t="shared" si="0"/>
        <v>0.25119617224880381</v>
      </c>
      <c r="G38" s="4" t="s">
        <v>9</v>
      </c>
    </row>
    <row r="39" spans="1:7" x14ac:dyDescent="0.25">
      <c r="A39" t="s">
        <v>46</v>
      </c>
      <c r="B39" s="4">
        <v>1470</v>
      </c>
      <c r="C39" s="4">
        <v>708</v>
      </c>
      <c r="D39" s="5">
        <f t="shared" si="1"/>
        <v>0.48163265306122449</v>
      </c>
      <c r="E39" s="4">
        <v>476</v>
      </c>
      <c r="F39" s="5">
        <f t="shared" si="0"/>
        <v>0.67231638418079098</v>
      </c>
      <c r="G39" s="4" t="s">
        <v>33</v>
      </c>
    </row>
    <row r="40" spans="1:7" x14ac:dyDescent="0.25">
      <c r="A40" t="s">
        <v>47</v>
      </c>
      <c r="B40" s="4">
        <v>3110</v>
      </c>
      <c r="C40" s="4">
        <v>225</v>
      </c>
      <c r="D40" s="5">
        <f t="shared" si="1"/>
        <v>7.2347266881028938E-2</v>
      </c>
      <c r="E40" s="4">
        <v>0</v>
      </c>
      <c r="F40" s="5">
        <f t="shared" si="0"/>
        <v>0</v>
      </c>
      <c r="G40" s="4" t="s">
        <v>9</v>
      </c>
    </row>
    <row r="41" spans="1:7" x14ac:dyDescent="0.25">
      <c r="A41" t="s">
        <v>48</v>
      </c>
      <c r="B41" s="4">
        <v>708</v>
      </c>
      <c r="C41" s="4">
        <v>124</v>
      </c>
      <c r="D41" s="5">
        <f t="shared" si="1"/>
        <v>0.1751412429378531</v>
      </c>
      <c r="E41" s="4">
        <v>4</v>
      </c>
      <c r="F41" s="5">
        <f t="shared" si="0"/>
        <v>3.2258064516129031E-2</v>
      </c>
      <c r="G41" s="4" t="s">
        <v>9</v>
      </c>
    </row>
    <row r="42" spans="1:7" x14ac:dyDescent="0.25">
      <c r="A42" t="s">
        <v>49</v>
      </c>
      <c r="B42" s="4">
        <v>2908</v>
      </c>
      <c r="C42" s="4">
        <v>771</v>
      </c>
      <c r="D42" s="5">
        <f t="shared" si="1"/>
        <v>0.26513067400275103</v>
      </c>
      <c r="E42" s="4">
        <v>190</v>
      </c>
      <c r="F42" s="5">
        <f t="shared" si="0"/>
        <v>0.24643320363164722</v>
      </c>
      <c r="G42" s="4" t="s">
        <v>9</v>
      </c>
    </row>
    <row r="43" spans="1:7" x14ac:dyDescent="0.25">
      <c r="A43" t="s">
        <v>50</v>
      </c>
      <c r="B43" s="4">
        <v>1186</v>
      </c>
      <c r="C43" s="4">
        <v>170</v>
      </c>
      <c r="D43" s="5">
        <f t="shared" si="1"/>
        <v>0.14333895446880271</v>
      </c>
      <c r="E43" s="4">
        <v>15</v>
      </c>
      <c r="F43" s="5">
        <f t="shared" si="0"/>
        <v>8.8235294117647065E-2</v>
      </c>
      <c r="G43" s="4" t="s">
        <v>9</v>
      </c>
    </row>
    <row r="44" spans="1:7" x14ac:dyDescent="0.25">
      <c r="A44" t="s">
        <v>51</v>
      </c>
      <c r="B44" s="4">
        <v>713</v>
      </c>
      <c r="C44" s="4">
        <v>65</v>
      </c>
      <c r="D44" s="5">
        <f t="shared" si="1"/>
        <v>9.1164095371669002E-2</v>
      </c>
      <c r="E44" s="4">
        <v>0</v>
      </c>
      <c r="F44" s="5">
        <f t="shared" si="0"/>
        <v>0</v>
      </c>
      <c r="G44" s="4" t="s">
        <v>9</v>
      </c>
    </row>
    <row r="45" spans="1:7" x14ac:dyDescent="0.25">
      <c r="A45" t="s">
        <v>52</v>
      </c>
      <c r="B45" s="4">
        <v>3329</v>
      </c>
      <c r="C45" s="4">
        <v>960</v>
      </c>
      <c r="D45" s="5">
        <f t="shared" si="1"/>
        <v>0.28837488735355965</v>
      </c>
      <c r="E45" s="4">
        <v>388</v>
      </c>
      <c r="F45" s="5">
        <f t="shared" si="0"/>
        <v>0.40416666666666667</v>
      </c>
      <c r="G45" s="4" t="s">
        <v>9</v>
      </c>
    </row>
    <row r="46" spans="1:7" x14ac:dyDescent="0.25">
      <c r="A46" t="s">
        <v>53</v>
      </c>
      <c r="B46" s="4">
        <v>963</v>
      </c>
      <c r="C46" s="4">
        <v>162</v>
      </c>
      <c r="D46" s="5">
        <f t="shared" si="1"/>
        <v>0.16822429906542055</v>
      </c>
      <c r="E46" s="4">
        <v>13</v>
      </c>
      <c r="F46" s="5">
        <f t="shared" si="0"/>
        <v>8.0246913580246909E-2</v>
      </c>
      <c r="G46" s="4" t="s">
        <v>9</v>
      </c>
    </row>
    <row r="47" spans="1:7" x14ac:dyDescent="0.25">
      <c r="A47" t="s">
        <v>54</v>
      </c>
      <c r="B47" s="4">
        <v>2462</v>
      </c>
      <c r="C47" s="4">
        <v>442</v>
      </c>
      <c r="D47" s="5">
        <f t="shared" si="1"/>
        <v>0.17952883834281072</v>
      </c>
      <c r="E47" s="4">
        <v>53</v>
      </c>
      <c r="F47" s="5">
        <f t="shared" si="0"/>
        <v>0.11990950226244344</v>
      </c>
      <c r="G47" s="4" t="s">
        <v>9</v>
      </c>
    </row>
    <row r="48" spans="1:7" x14ac:dyDescent="0.25">
      <c r="A48" t="s">
        <v>55</v>
      </c>
      <c r="B48" s="4">
        <v>1098</v>
      </c>
      <c r="C48" s="4">
        <v>273</v>
      </c>
      <c r="D48" s="5">
        <f t="shared" si="1"/>
        <v>0.24863387978142076</v>
      </c>
      <c r="E48" s="4">
        <v>41</v>
      </c>
      <c r="F48" s="5">
        <f t="shared" si="0"/>
        <v>0.15018315018315018</v>
      </c>
      <c r="G48" s="4" t="s">
        <v>9</v>
      </c>
    </row>
    <row r="49" spans="1:7" x14ac:dyDescent="0.25">
      <c r="A49" t="s">
        <v>56</v>
      </c>
      <c r="B49" s="4">
        <v>1990</v>
      </c>
      <c r="C49" s="4">
        <v>322</v>
      </c>
      <c r="D49" s="5">
        <f t="shared" si="1"/>
        <v>0.16180904522613065</v>
      </c>
      <c r="E49" s="4">
        <v>35</v>
      </c>
      <c r="F49" s="5">
        <f t="shared" si="0"/>
        <v>0.10869565217391304</v>
      </c>
      <c r="G49" s="4" t="s">
        <v>9</v>
      </c>
    </row>
    <row r="50" spans="1:7" x14ac:dyDescent="0.25">
      <c r="A50" t="s">
        <v>57</v>
      </c>
      <c r="B50" s="4">
        <v>12149</v>
      </c>
      <c r="C50" s="4">
        <v>3092</v>
      </c>
      <c r="D50" s="5">
        <f t="shared" si="1"/>
        <v>0.25450654374845666</v>
      </c>
      <c r="E50" s="4">
        <v>1119</v>
      </c>
      <c r="F50" s="5">
        <f t="shared" si="0"/>
        <v>0.36190168175937903</v>
      </c>
      <c r="G50" s="4" t="s">
        <v>9</v>
      </c>
    </row>
    <row r="51" spans="1:7" x14ac:dyDescent="0.25">
      <c r="A51" t="s">
        <v>58</v>
      </c>
      <c r="B51" s="4">
        <v>888</v>
      </c>
      <c r="C51" s="4">
        <v>164</v>
      </c>
      <c r="D51" s="5">
        <f t="shared" si="1"/>
        <v>0.18468468468468469</v>
      </c>
      <c r="E51" s="4">
        <v>23</v>
      </c>
      <c r="F51" s="5">
        <f t="shared" si="0"/>
        <v>0.1402439024390244</v>
      </c>
      <c r="G51" s="4"/>
    </row>
    <row r="52" spans="1:7" x14ac:dyDescent="0.25">
      <c r="A52" t="s">
        <v>59</v>
      </c>
      <c r="B52" s="4">
        <v>1139</v>
      </c>
      <c r="C52" s="4">
        <v>121</v>
      </c>
      <c r="D52" s="5">
        <f t="shared" si="1"/>
        <v>0.10623353819139596</v>
      </c>
      <c r="E52" s="4">
        <v>1</v>
      </c>
      <c r="F52" s="5">
        <f t="shared" si="0"/>
        <v>8.2644628099173556E-3</v>
      </c>
      <c r="G52" s="4" t="s">
        <v>9</v>
      </c>
    </row>
    <row r="53" spans="1:7" x14ac:dyDescent="0.25">
      <c r="A53" t="s">
        <v>60</v>
      </c>
      <c r="B53" s="4">
        <v>796</v>
      </c>
      <c r="C53" s="4">
        <v>65</v>
      </c>
      <c r="D53" s="5">
        <f t="shared" si="1"/>
        <v>8.1658291457286439E-2</v>
      </c>
      <c r="E53" s="4">
        <v>0</v>
      </c>
      <c r="F53" s="5">
        <f t="shared" si="0"/>
        <v>0</v>
      </c>
      <c r="G53" s="4" t="s">
        <v>9</v>
      </c>
    </row>
    <row r="54" spans="1:7" x14ac:dyDescent="0.25">
      <c r="A54" t="s">
        <v>61</v>
      </c>
      <c r="B54" s="4">
        <v>796</v>
      </c>
      <c r="C54" s="4">
        <v>65</v>
      </c>
      <c r="D54" s="5">
        <f t="shared" si="1"/>
        <v>8.1658291457286439E-2</v>
      </c>
      <c r="E54" s="4">
        <v>0</v>
      </c>
      <c r="F54" s="5">
        <f t="shared" si="0"/>
        <v>0</v>
      </c>
      <c r="G54" s="4" t="s">
        <v>9</v>
      </c>
    </row>
    <row r="55" spans="1:7" x14ac:dyDescent="0.25">
      <c r="A55" t="s">
        <v>62</v>
      </c>
      <c r="B55" s="4">
        <v>967</v>
      </c>
      <c r="C55" s="4">
        <v>126</v>
      </c>
      <c r="D55" s="5">
        <f t="shared" si="1"/>
        <v>0.13029989658738367</v>
      </c>
      <c r="E55" s="4">
        <v>0</v>
      </c>
      <c r="F55" s="5">
        <f t="shared" si="0"/>
        <v>0</v>
      </c>
      <c r="G55" s="4" t="s">
        <v>9</v>
      </c>
    </row>
    <row r="56" spans="1:7" x14ac:dyDescent="0.25">
      <c r="A56" t="s">
        <v>63</v>
      </c>
      <c r="B56" s="4">
        <v>987</v>
      </c>
      <c r="C56" s="4">
        <v>406</v>
      </c>
      <c r="D56" s="5">
        <f t="shared" si="1"/>
        <v>0.41134751773049644</v>
      </c>
      <c r="E56" s="4">
        <v>225</v>
      </c>
      <c r="F56" s="5">
        <f t="shared" si="0"/>
        <v>0.55418719211822665</v>
      </c>
      <c r="G56" s="4" t="s">
        <v>33</v>
      </c>
    </row>
    <row r="57" spans="1:7" x14ac:dyDescent="0.25">
      <c r="A57" t="s">
        <v>64</v>
      </c>
      <c r="B57" s="4">
        <v>1812</v>
      </c>
      <c r="C57" s="4">
        <v>219</v>
      </c>
      <c r="D57" s="5">
        <f t="shared" si="1"/>
        <v>0.12086092715231789</v>
      </c>
      <c r="E57" s="4">
        <v>23</v>
      </c>
      <c r="F57" s="5">
        <f t="shared" si="0"/>
        <v>0.1050228310502283</v>
      </c>
      <c r="G57" s="4" t="s">
        <v>9</v>
      </c>
    </row>
    <row r="58" spans="1:7" x14ac:dyDescent="0.25">
      <c r="A58" t="s">
        <v>65</v>
      </c>
      <c r="B58" s="4">
        <v>3588</v>
      </c>
      <c r="C58" s="4">
        <v>378</v>
      </c>
      <c r="D58" s="5">
        <f t="shared" si="1"/>
        <v>0.10535117056856187</v>
      </c>
      <c r="E58" s="4">
        <v>62</v>
      </c>
      <c r="F58" s="5">
        <f t="shared" si="0"/>
        <v>0.16402116402116401</v>
      </c>
      <c r="G58" s="4" t="s">
        <v>9</v>
      </c>
    </row>
    <row r="59" spans="1:7" x14ac:dyDescent="0.25">
      <c r="A59" t="s">
        <v>66</v>
      </c>
      <c r="B59" s="4">
        <v>1759</v>
      </c>
      <c r="C59" s="4">
        <v>258</v>
      </c>
      <c r="D59" s="5">
        <f t="shared" si="1"/>
        <v>0.14667424673109722</v>
      </c>
      <c r="E59" s="4">
        <v>16</v>
      </c>
      <c r="F59" s="5">
        <f t="shared" si="0"/>
        <v>6.2015503875968991E-2</v>
      </c>
      <c r="G59" s="4" t="s">
        <v>9</v>
      </c>
    </row>
    <row r="60" spans="1:7" x14ac:dyDescent="0.25">
      <c r="A60" t="s">
        <v>67</v>
      </c>
      <c r="B60" s="4">
        <v>1413</v>
      </c>
      <c r="C60" s="4">
        <v>100</v>
      </c>
      <c r="D60" s="5">
        <f t="shared" si="1"/>
        <v>7.0771408351026188E-2</v>
      </c>
      <c r="E60" s="4">
        <v>2</v>
      </c>
      <c r="F60" s="5">
        <f t="shared" si="0"/>
        <v>0.02</v>
      </c>
      <c r="G60" s="4" t="s">
        <v>9</v>
      </c>
    </row>
    <row r="61" spans="1:7" x14ac:dyDescent="0.25">
      <c r="A61" t="s">
        <v>68</v>
      </c>
      <c r="B61" s="4">
        <v>1563</v>
      </c>
      <c r="C61" s="4">
        <v>436</v>
      </c>
      <c r="D61" s="5">
        <f t="shared" si="1"/>
        <v>0.27895073576455537</v>
      </c>
      <c r="E61" s="4">
        <v>285</v>
      </c>
      <c r="F61" s="5">
        <f t="shared" si="0"/>
        <v>0.65366972477064222</v>
      </c>
      <c r="G61" s="4" t="s">
        <v>9</v>
      </c>
    </row>
    <row r="62" spans="1:7" x14ac:dyDescent="0.25">
      <c r="A62" t="s">
        <v>69</v>
      </c>
      <c r="B62" s="4">
        <v>1169</v>
      </c>
      <c r="C62" s="4">
        <v>269</v>
      </c>
      <c r="D62" s="5">
        <f t="shared" si="1"/>
        <v>0.23011120615911035</v>
      </c>
      <c r="E62" s="4">
        <v>53</v>
      </c>
      <c r="F62" s="5">
        <f t="shared" si="0"/>
        <v>0.19702602230483271</v>
      </c>
      <c r="G62" s="4" t="s">
        <v>9</v>
      </c>
    </row>
    <row r="63" spans="1:7" x14ac:dyDescent="0.25">
      <c r="A63" t="s">
        <v>70</v>
      </c>
      <c r="B63" s="4">
        <v>214</v>
      </c>
      <c r="C63" s="4">
        <v>52</v>
      </c>
      <c r="D63" s="5">
        <f t="shared" si="1"/>
        <v>0.24299065420560748</v>
      </c>
      <c r="E63" s="4">
        <v>8</v>
      </c>
      <c r="F63" s="5">
        <f t="shared" si="0"/>
        <v>0.15384615384615385</v>
      </c>
      <c r="G63" s="4" t="s">
        <v>9</v>
      </c>
    </row>
    <row r="64" spans="1:7" x14ac:dyDescent="0.25">
      <c r="A64" t="s">
        <v>71</v>
      </c>
      <c r="B64" s="4">
        <v>2362</v>
      </c>
      <c r="C64" s="4">
        <v>788</v>
      </c>
      <c r="D64" s="5">
        <f t="shared" si="1"/>
        <v>0.33361558001693481</v>
      </c>
      <c r="E64" s="4">
        <v>328</v>
      </c>
      <c r="F64" s="5">
        <f t="shared" si="0"/>
        <v>0.41624365482233505</v>
      </c>
      <c r="G64" s="4" t="s">
        <v>33</v>
      </c>
    </row>
    <row r="65" spans="1:7" x14ac:dyDescent="0.25">
      <c r="A65" t="s">
        <v>72</v>
      </c>
      <c r="B65" s="4">
        <v>956</v>
      </c>
      <c r="C65" s="4">
        <v>78</v>
      </c>
      <c r="D65" s="5">
        <f t="shared" si="1"/>
        <v>8.1589958158995821E-2</v>
      </c>
      <c r="E65" s="4">
        <v>0</v>
      </c>
      <c r="F65" s="5">
        <f t="shared" si="0"/>
        <v>0</v>
      </c>
      <c r="G65" s="4" t="s">
        <v>9</v>
      </c>
    </row>
    <row r="66" spans="1:7" x14ac:dyDescent="0.25">
      <c r="A66" t="s">
        <v>73</v>
      </c>
      <c r="B66" s="4">
        <v>743</v>
      </c>
      <c r="C66" s="4">
        <v>66</v>
      </c>
      <c r="D66" s="5">
        <f t="shared" si="1"/>
        <v>8.8829071332436074E-2</v>
      </c>
      <c r="E66" s="4">
        <v>0</v>
      </c>
      <c r="F66" s="5">
        <f t="shared" si="0"/>
        <v>0</v>
      </c>
      <c r="G66" s="4" t="s">
        <v>9</v>
      </c>
    </row>
    <row r="67" spans="1:7" x14ac:dyDescent="0.25">
      <c r="A67" t="s">
        <v>74</v>
      </c>
      <c r="B67" s="4">
        <v>2017</v>
      </c>
      <c r="C67" s="4">
        <v>135</v>
      </c>
      <c r="D67" s="5">
        <f t="shared" si="1"/>
        <v>6.6931085770946946E-2</v>
      </c>
      <c r="E67" s="4">
        <v>14</v>
      </c>
      <c r="F67" s="5">
        <f t="shared" si="0"/>
        <v>0.1037037037037037</v>
      </c>
      <c r="G67" s="4" t="s">
        <v>9</v>
      </c>
    </row>
    <row r="68" spans="1:7" x14ac:dyDescent="0.25">
      <c r="A68" t="s">
        <v>75</v>
      </c>
      <c r="B68" s="4">
        <v>7769</v>
      </c>
      <c r="C68" s="4">
        <v>1991</v>
      </c>
      <c r="D68" s="5">
        <f t="shared" si="1"/>
        <v>0.25627493885957009</v>
      </c>
      <c r="E68" s="4">
        <v>1526</v>
      </c>
      <c r="F68" s="5">
        <f t="shared" ref="F68:F131" si="2">E68/C68</f>
        <v>0.76644902059266695</v>
      </c>
      <c r="G68" s="4" t="s">
        <v>33</v>
      </c>
    </row>
    <row r="69" spans="1:7" x14ac:dyDescent="0.25">
      <c r="A69" t="s">
        <v>76</v>
      </c>
      <c r="B69" s="4">
        <v>8784</v>
      </c>
      <c r="C69" s="4">
        <v>965</v>
      </c>
      <c r="D69" s="5">
        <f t="shared" ref="D69:D132" si="3">C69/B69</f>
        <v>0.10985883424408015</v>
      </c>
      <c r="E69" s="4">
        <v>240</v>
      </c>
      <c r="F69" s="5">
        <f t="shared" si="2"/>
        <v>0.24870466321243523</v>
      </c>
      <c r="G69" s="4" t="s">
        <v>9</v>
      </c>
    </row>
    <row r="70" spans="1:7" x14ac:dyDescent="0.25">
      <c r="A70" t="s">
        <v>77</v>
      </c>
      <c r="B70" s="4">
        <v>1863</v>
      </c>
      <c r="C70" s="4">
        <v>515</v>
      </c>
      <c r="D70" s="5">
        <f t="shared" si="3"/>
        <v>0.27643585614600108</v>
      </c>
      <c r="E70" s="4">
        <v>85</v>
      </c>
      <c r="F70" s="5">
        <f t="shared" si="2"/>
        <v>0.1650485436893204</v>
      </c>
      <c r="G70" s="4" t="s">
        <v>9</v>
      </c>
    </row>
    <row r="71" spans="1:7" x14ac:dyDescent="0.25">
      <c r="A71" t="s">
        <v>78</v>
      </c>
      <c r="B71" s="4">
        <v>3896</v>
      </c>
      <c r="C71" s="4">
        <v>950</v>
      </c>
      <c r="D71" s="5">
        <f t="shared" si="3"/>
        <v>0.24383983572895276</v>
      </c>
      <c r="E71" s="4">
        <v>191</v>
      </c>
      <c r="F71" s="5">
        <f t="shared" si="2"/>
        <v>0.20105263157894737</v>
      </c>
      <c r="G71" s="4" t="s">
        <v>9</v>
      </c>
    </row>
    <row r="72" spans="1:7" x14ac:dyDescent="0.25">
      <c r="A72" t="s">
        <v>79</v>
      </c>
      <c r="B72" s="4">
        <v>1469</v>
      </c>
      <c r="C72" s="4">
        <v>159</v>
      </c>
      <c r="D72" s="5">
        <f t="shared" si="3"/>
        <v>0.10823689584751532</v>
      </c>
      <c r="E72" s="4">
        <v>0</v>
      </c>
      <c r="F72" s="5">
        <f t="shared" si="2"/>
        <v>0</v>
      </c>
      <c r="G72" s="4" t="s">
        <v>9</v>
      </c>
    </row>
    <row r="73" spans="1:7" x14ac:dyDescent="0.25">
      <c r="A73" t="s">
        <v>80</v>
      </c>
      <c r="B73" s="4">
        <v>772</v>
      </c>
      <c r="C73" s="4">
        <v>94</v>
      </c>
      <c r="D73" s="5">
        <f t="shared" si="3"/>
        <v>0.12176165803108809</v>
      </c>
      <c r="E73" s="4">
        <v>0</v>
      </c>
      <c r="F73" s="5">
        <f t="shared" si="2"/>
        <v>0</v>
      </c>
      <c r="G73" s="4" t="s">
        <v>9</v>
      </c>
    </row>
    <row r="74" spans="1:7" x14ac:dyDescent="0.25">
      <c r="A74" t="s">
        <v>81</v>
      </c>
      <c r="B74" s="4">
        <v>1229</v>
      </c>
      <c r="C74" s="4">
        <v>99</v>
      </c>
      <c r="D74" s="5">
        <f t="shared" si="3"/>
        <v>8.0553295362082999E-2</v>
      </c>
      <c r="E74" s="4">
        <v>0</v>
      </c>
      <c r="F74" s="5">
        <f t="shared" si="2"/>
        <v>0</v>
      </c>
      <c r="G74" s="4" t="s">
        <v>9</v>
      </c>
    </row>
    <row r="75" spans="1:7" x14ac:dyDescent="0.25">
      <c r="A75" t="s">
        <v>82</v>
      </c>
      <c r="B75" s="4">
        <v>2364</v>
      </c>
      <c r="C75" s="4">
        <v>420</v>
      </c>
      <c r="D75" s="5">
        <f t="shared" si="3"/>
        <v>0.17766497461928935</v>
      </c>
      <c r="E75" s="4">
        <v>79</v>
      </c>
      <c r="F75" s="5">
        <f t="shared" si="2"/>
        <v>0.18809523809523809</v>
      </c>
      <c r="G75" s="4" t="s">
        <v>9</v>
      </c>
    </row>
    <row r="76" spans="1:7" x14ac:dyDescent="0.25">
      <c r="A76" t="s">
        <v>83</v>
      </c>
      <c r="B76" s="4">
        <v>1078</v>
      </c>
      <c r="C76" s="4">
        <v>102</v>
      </c>
      <c r="D76" s="5">
        <f t="shared" si="3"/>
        <v>9.4619666048237475E-2</v>
      </c>
      <c r="E76" s="4">
        <v>0</v>
      </c>
      <c r="F76" s="5">
        <f t="shared" si="2"/>
        <v>0</v>
      </c>
      <c r="G76" s="4" t="s">
        <v>9</v>
      </c>
    </row>
    <row r="77" spans="1:7" x14ac:dyDescent="0.25">
      <c r="A77" t="s">
        <v>84</v>
      </c>
      <c r="B77" s="4">
        <v>1057</v>
      </c>
      <c r="C77" s="4">
        <v>70</v>
      </c>
      <c r="D77" s="5">
        <f t="shared" si="3"/>
        <v>6.6225165562913912E-2</v>
      </c>
      <c r="E77" s="4">
        <v>0</v>
      </c>
      <c r="F77" s="5">
        <f t="shared" si="2"/>
        <v>0</v>
      </c>
      <c r="G77" s="4" t="s">
        <v>9</v>
      </c>
    </row>
    <row r="78" spans="1:7" x14ac:dyDescent="0.25">
      <c r="A78" t="s">
        <v>85</v>
      </c>
      <c r="B78" s="4">
        <v>4186</v>
      </c>
      <c r="C78" s="4">
        <v>835</v>
      </c>
      <c r="D78" s="5">
        <f t="shared" si="3"/>
        <v>0.19947443860487338</v>
      </c>
      <c r="E78" s="4">
        <v>176</v>
      </c>
      <c r="F78" s="5">
        <f t="shared" si="2"/>
        <v>0.21077844311377245</v>
      </c>
      <c r="G78" s="4" t="s">
        <v>9</v>
      </c>
    </row>
    <row r="79" spans="1:7" x14ac:dyDescent="0.25">
      <c r="A79" t="s">
        <v>86</v>
      </c>
      <c r="B79" s="4">
        <v>894</v>
      </c>
      <c r="C79" s="4">
        <v>67</v>
      </c>
      <c r="D79" s="5">
        <f t="shared" si="3"/>
        <v>7.4944071588366884E-2</v>
      </c>
      <c r="E79" s="4">
        <v>0</v>
      </c>
      <c r="F79" s="5">
        <f t="shared" si="2"/>
        <v>0</v>
      </c>
      <c r="G79" s="4" t="s">
        <v>9</v>
      </c>
    </row>
    <row r="80" spans="1:7" x14ac:dyDescent="0.25">
      <c r="A80" t="s">
        <v>87</v>
      </c>
      <c r="B80" s="4">
        <v>162</v>
      </c>
      <c r="C80" s="4">
        <v>119</v>
      </c>
      <c r="D80" s="5">
        <f t="shared" si="3"/>
        <v>0.73456790123456794</v>
      </c>
      <c r="E80" s="4">
        <v>21</v>
      </c>
      <c r="F80" s="5">
        <f t="shared" si="2"/>
        <v>0.17647058823529413</v>
      </c>
      <c r="G80" s="4" t="s">
        <v>9</v>
      </c>
    </row>
    <row r="81" spans="1:7" x14ac:dyDescent="0.25">
      <c r="A81" t="s">
        <v>88</v>
      </c>
      <c r="B81" s="4">
        <v>549</v>
      </c>
      <c r="C81" s="4">
        <v>124</v>
      </c>
      <c r="D81" s="5">
        <f t="shared" si="3"/>
        <v>0.22586520947176686</v>
      </c>
      <c r="E81" s="4">
        <v>3</v>
      </c>
      <c r="F81" s="5">
        <f t="shared" si="2"/>
        <v>2.4193548387096774E-2</v>
      </c>
      <c r="G81" s="4" t="s">
        <v>9</v>
      </c>
    </row>
    <row r="82" spans="1:7" x14ac:dyDescent="0.25">
      <c r="A82" t="s">
        <v>89</v>
      </c>
      <c r="B82" s="4">
        <v>53</v>
      </c>
      <c r="C82" s="4">
        <v>12</v>
      </c>
      <c r="D82" s="5">
        <f t="shared" si="3"/>
        <v>0.22641509433962265</v>
      </c>
      <c r="E82" s="4">
        <v>0</v>
      </c>
      <c r="F82" s="5">
        <f t="shared" si="2"/>
        <v>0</v>
      </c>
      <c r="G82" s="4" t="s">
        <v>9</v>
      </c>
    </row>
    <row r="83" spans="1:7" x14ac:dyDescent="0.25">
      <c r="A83" t="s">
        <v>90</v>
      </c>
      <c r="B83" s="4">
        <v>1761</v>
      </c>
      <c r="C83" s="4">
        <v>496</v>
      </c>
      <c r="D83" s="5">
        <f t="shared" si="3"/>
        <v>0.28165814877910278</v>
      </c>
      <c r="E83" s="4">
        <v>73</v>
      </c>
      <c r="F83" s="5">
        <f t="shared" si="2"/>
        <v>0.14717741935483872</v>
      </c>
      <c r="G83" s="4" t="s">
        <v>9</v>
      </c>
    </row>
    <row r="84" spans="1:7" x14ac:dyDescent="0.25">
      <c r="A84" t="s">
        <v>91</v>
      </c>
      <c r="B84" s="4">
        <v>258</v>
      </c>
      <c r="C84" s="4">
        <v>42</v>
      </c>
      <c r="D84" s="5">
        <f t="shared" si="3"/>
        <v>0.16279069767441862</v>
      </c>
      <c r="E84" s="4">
        <v>0</v>
      </c>
      <c r="F84" s="5">
        <f t="shared" si="2"/>
        <v>0</v>
      </c>
      <c r="G84" s="4" t="s">
        <v>9</v>
      </c>
    </row>
    <row r="85" spans="1:7" x14ac:dyDescent="0.25">
      <c r="A85" t="s">
        <v>92</v>
      </c>
      <c r="B85" s="4">
        <v>656</v>
      </c>
      <c r="C85" s="4">
        <v>125</v>
      </c>
      <c r="D85" s="5">
        <f t="shared" si="3"/>
        <v>0.19054878048780488</v>
      </c>
      <c r="E85" s="4">
        <v>0</v>
      </c>
      <c r="F85" s="5">
        <f t="shared" si="2"/>
        <v>0</v>
      </c>
      <c r="G85" s="4" t="s">
        <v>9</v>
      </c>
    </row>
    <row r="86" spans="1:7" x14ac:dyDescent="0.25">
      <c r="A86" t="s">
        <v>93</v>
      </c>
      <c r="B86" s="4">
        <v>742</v>
      </c>
      <c r="C86" s="4">
        <v>80</v>
      </c>
      <c r="D86" s="5">
        <f t="shared" si="3"/>
        <v>0.1078167115902965</v>
      </c>
      <c r="E86" s="4">
        <v>0</v>
      </c>
      <c r="F86" s="5">
        <f t="shared" si="2"/>
        <v>0</v>
      </c>
      <c r="G86" s="4" t="s">
        <v>9</v>
      </c>
    </row>
    <row r="87" spans="1:7" x14ac:dyDescent="0.25">
      <c r="A87" t="s">
        <v>94</v>
      </c>
      <c r="B87" s="4">
        <v>228</v>
      </c>
      <c r="C87" s="4">
        <v>47</v>
      </c>
      <c r="D87" s="5">
        <f t="shared" si="3"/>
        <v>0.20614035087719298</v>
      </c>
      <c r="E87" s="4">
        <v>6</v>
      </c>
      <c r="F87" s="5">
        <f t="shared" si="2"/>
        <v>0.1276595744680851</v>
      </c>
      <c r="G87" s="4" t="s">
        <v>9</v>
      </c>
    </row>
    <row r="88" spans="1:7" x14ac:dyDescent="0.25">
      <c r="A88" t="s">
        <v>95</v>
      </c>
      <c r="B88" s="4">
        <v>1728</v>
      </c>
      <c r="C88" s="4">
        <v>384</v>
      </c>
      <c r="D88" s="5">
        <f t="shared" si="3"/>
        <v>0.22222222222222221</v>
      </c>
      <c r="E88" s="4">
        <v>130</v>
      </c>
      <c r="F88" s="5">
        <f t="shared" si="2"/>
        <v>0.33854166666666669</v>
      </c>
      <c r="G88" s="4" t="s">
        <v>9</v>
      </c>
    </row>
    <row r="89" spans="1:7" x14ac:dyDescent="0.25">
      <c r="A89" t="s">
        <v>96</v>
      </c>
      <c r="B89" s="4">
        <v>628</v>
      </c>
      <c r="C89" s="4">
        <v>199</v>
      </c>
      <c r="D89" s="5">
        <f t="shared" si="3"/>
        <v>0.31687898089171973</v>
      </c>
      <c r="E89" s="4">
        <v>45</v>
      </c>
      <c r="F89" s="5">
        <f t="shared" si="2"/>
        <v>0.22613065326633167</v>
      </c>
      <c r="G89" s="4" t="s">
        <v>9</v>
      </c>
    </row>
    <row r="90" spans="1:7" x14ac:dyDescent="0.25">
      <c r="A90" t="s">
        <v>97</v>
      </c>
      <c r="B90" s="4">
        <v>305</v>
      </c>
      <c r="C90" s="4">
        <v>30</v>
      </c>
      <c r="D90" s="5">
        <f t="shared" si="3"/>
        <v>9.8360655737704916E-2</v>
      </c>
      <c r="E90" s="4">
        <v>0</v>
      </c>
      <c r="F90" s="5">
        <f t="shared" si="2"/>
        <v>0</v>
      </c>
      <c r="G90" s="4" t="s">
        <v>9</v>
      </c>
    </row>
    <row r="91" spans="1:7" x14ac:dyDescent="0.25">
      <c r="A91" t="s">
        <v>98</v>
      </c>
      <c r="B91" s="4">
        <v>2194</v>
      </c>
      <c r="C91" s="4">
        <v>293</v>
      </c>
      <c r="D91" s="5">
        <f t="shared" si="3"/>
        <v>0.13354603463992706</v>
      </c>
      <c r="E91" s="4">
        <v>7</v>
      </c>
      <c r="F91" s="5">
        <f t="shared" si="2"/>
        <v>2.3890784982935155E-2</v>
      </c>
      <c r="G91" s="4" t="s">
        <v>9</v>
      </c>
    </row>
    <row r="92" spans="1:7" x14ac:dyDescent="0.25">
      <c r="A92" t="s">
        <v>99</v>
      </c>
      <c r="B92" s="4">
        <v>9277</v>
      </c>
      <c r="C92" s="4">
        <v>1699</v>
      </c>
      <c r="D92" s="5">
        <f t="shared" si="3"/>
        <v>0.18314110164924005</v>
      </c>
      <c r="E92" s="4">
        <v>708</v>
      </c>
      <c r="F92" s="5">
        <f t="shared" si="2"/>
        <v>0.41671571512654504</v>
      </c>
      <c r="G92" s="4" t="s">
        <v>9</v>
      </c>
    </row>
    <row r="93" spans="1:7" x14ac:dyDescent="0.25">
      <c r="A93" t="s">
        <v>100</v>
      </c>
      <c r="B93" s="4">
        <v>2921</v>
      </c>
      <c r="C93" s="4">
        <v>465</v>
      </c>
      <c r="D93" s="5">
        <f t="shared" si="3"/>
        <v>0.15919205751454982</v>
      </c>
      <c r="E93" s="4">
        <v>52</v>
      </c>
      <c r="F93" s="5">
        <f t="shared" si="2"/>
        <v>0.11182795698924732</v>
      </c>
      <c r="G93" s="4" t="s">
        <v>9</v>
      </c>
    </row>
    <row r="94" spans="1:7" x14ac:dyDescent="0.25">
      <c r="A94" t="s">
        <v>101</v>
      </c>
      <c r="B94" s="4">
        <v>2425</v>
      </c>
      <c r="C94" s="4">
        <v>320</v>
      </c>
      <c r="D94" s="5">
        <f t="shared" si="3"/>
        <v>0.13195876288659794</v>
      </c>
      <c r="E94" s="4">
        <v>57</v>
      </c>
      <c r="F94" s="5">
        <f t="shared" si="2"/>
        <v>0.17812500000000001</v>
      </c>
      <c r="G94" s="4" t="s">
        <v>9</v>
      </c>
    </row>
    <row r="95" spans="1:7" x14ac:dyDescent="0.25">
      <c r="A95" t="s">
        <v>102</v>
      </c>
      <c r="B95" s="4">
        <v>4264</v>
      </c>
      <c r="C95" s="4">
        <v>778</v>
      </c>
      <c r="D95" s="5">
        <f t="shared" si="3"/>
        <v>0.18245778611632271</v>
      </c>
      <c r="E95" s="4">
        <v>237</v>
      </c>
      <c r="F95" s="5">
        <f t="shared" si="2"/>
        <v>0.30462724935732649</v>
      </c>
      <c r="G95" s="4" t="s">
        <v>9</v>
      </c>
    </row>
    <row r="96" spans="1:7" x14ac:dyDescent="0.25">
      <c r="A96" t="s">
        <v>103</v>
      </c>
      <c r="B96" s="4">
        <v>464</v>
      </c>
      <c r="C96" s="4">
        <v>31</v>
      </c>
      <c r="D96" s="5">
        <f t="shared" si="3"/>
        <v>6.6810344827586202E-2</v>
      </c>
      <c r="E96" s="4">
        <v>4</v>
      </c>
      <c r="F96" s="5">
        <f t="shared" si="2"/>
        <v>0.12903225806451613</v>
      </c>
      <c r="G96" s="4" t="s">
        <v>9</v>
      </c>
    </row>
    <row r="97" spans="1:7" x14ac:dyDescent="0.25">
      <c r="A97" t="s">
        <v>104</v>
      </c>
      <c r="B97" s="4">
        <v>540</v>
      </c>
      <c r="C97" s="4">
        <v>136</v>
      </c>
      <c r="D97" s="5">
        <f t="shared" si="3"/>
        <v>0.25185185185185183</v>
      </c>
      <c r="E97" s="4">
        <v>26</v>
      </c>
      <c r="F97" s="5">
        <f t="shared" si="2"/>
        <v>0.19117647058823528</v>
      </c>
      <c r="G97" s="4" t="s">
        <v>9</v>
      </c>
    </row>
    <row r="98" spans="1:7" x14ac:dyDescent="0.25">
      <c r="A98" t="s">
        <v>105</v>
      </c>
      <c r="B98" s="4">
        <v>1699</v>
      </c>
      <c r="C98" s="4">
        <v>396</v>
      </c>
      <c r="D98" s="5">
        <f t="shared" si="3"/>
        <v>0.23307828134196587</v>
      </c>
      <c r="E98" s="4">
        <v>29</v>
      </c>
      <c r="F98" s="5">
        <f t="shared" si="2"/>
        <v>7.3232323232323232E-2</v>
      </c>
      <c r="G98" s="4" t="s">
        <v>9</v>
      </c>
    </row>
    <row r="99" spans="1:7" x14ac:dyDescent="0.25">
      <c r="A99" t="s">
        <v>106</v>
      </c>
      <c r="B99" s="4">
        <v>2265</v>
      </c>
      <c r="C99" s="4">
        <v>216</v>
      </c>
      <c r="D99" s="5">
        <f t="shared" si="3"/>
        <v>9.5364238410596033E-2</v>
      </c>
      <c r="E99" s="4">
        <v>38</v>
      </c>
      <c r="F99" s="5">
        <f t="shared" si="2"/>
        <v>0.17592592592592593</v>
      </c>
      <c r="G99" s="4" t="s">
        <v>9</v>
      </c>
    </row>
    <row r="100" spans="1:7" x14ac:dyDescent="0.25">
      <c r="A100" t="s">
        <v>107</v>
      </c>
      <c r="B100" s="4">
        <v>315</v>
      </c>
      <c r="C100" s="4">
        <v>75</v>
      </c>
      <c r="D100" s="5">
        <f t="shared" si="3"/>
        <v>0.23809523809523808</v>
      </c>
      <c r="E100" s="4">
        <v>7</v>
      </c>
      <c r="F100" s="5">
        <f t="shared" si="2"/>
        <v>9.3333333333333338E-2</v>
      </c>
      <c r="G100" s="4" t="s">
        <v>9</v>
      </c>
    </row>
    <row r="101" spans="1:7" x14ac:dyDescent="0.25">
      <c r="A101" t="s">
        <v>108</v>
      </c>
      <c r="B101" s="4">
        <v>897</v>
      </c>
      <c r="C101" s="4">
        <v>62</v>
      </c>
      <c r="D101" s="5">
        <f t="shared" si="3"/>
        <v>6.9119286510590863E-2</v>
      </c>
      <c r="E101" s="4">
        <v>0</v>
      </c>
      <c r="F101" s="5">
        <f t="shared" si="2"/>
        <v>0</v>
      </c>
      <c r="G101" s="4" t="s">
        <v>9</v>
      </c>
    </row>
    <row r="102" spans="1:7" x14ac:dyDescent="0.25">
      <c r="A102" t="s">
        <v>109</v>
      </c>
      <c r="B102" s="4">
        <v>476</v>
      </c>
      <c r="C102" s="4">
        <v>206</v>
      </c>
      <c r="D102" s="5">
        <f t="shared" si="3"/>
        <v>0.4327731092436975</v>
      </c>
      <c r="E102" s="4">
        <v>148</v>
      </c>
      <c r="F102" s="5">
        <f t="shared" si="2"/>
        <v>0.71844660194174759</v>
      </c>
      <c r="G102" s="4" t="s">
        <v>33</v>
      </c>
    </row>
    <row r="103" spans="1:7" x14ac:dyDescent="0.25">
      <c r="A103" t="s">
        <v>110</v>
      </c>
      <c r="B103" s="4">
        <v>757</v>
      </c>
      <c r="C103" s="4">
        <v>74</v>
      </c>
      <c r="D103" s="5">
        <f t="shared" si="3"/>
        <v>9.7754293262879793E-2</v>
      </c>
      <c r="E103" s="4">
        <v>0</v>
      </c>
      <c r="F103" s="5">
        <f t="shared" si="2"/>
        <v>0</v>
      </c>
      <c r="G103" s="4" t="s">
        <v>9</v>
      </c>
    </row>
    <row r="104" spans="1:7" x14ac:dyDescent="0.25">
      <c r="A104" t="s">
        <v>111</v>
      </c>
      <c r="B104" s="4">
        <v>431</v>
      </c>
      <c r="C104" s="4">
        <v>38</v>
      </c>
      <c r="D104" s="5">
        <f t="shared" si="3"/>
        <v>8.8167053364269138E-2</v>
      </c>
      <c r="E104" s="4">
        <v>0</v>
      </c>
      <c r="F104" s="5">
        <f t="shared" si="2"/>
        <v>0</v>
      </c>
      <c r="G104" s="4" t="s">
        <v>9</v>
      </c>
    </row>
    <row r="105" spans="1:7" x14ac:dyDescent="0.25">
      <c r="A105" t="s">
        <v>112</v>
      </c>
      <c r="B105" s="4">
        <v>4358</v>
      </c>
      <c r="C105" s="4">
        <v>477</v>
      </c>
      <c r="D105" s="5">
        <f t="shared" si="3"/>
        <v>0.10945387792565398</v>
      </c>
      <c r="E105" s="4">
        <v>86</v>
      </c>
      <c r="F105" s="5">
        <f t="shared" si="2"/>
        <v>0.18029350104821804</v>
      </c>
      <c r="G105" s="4" t="s">
        <v>9</v>
      </c>
    </row>
    <row r="106" spans="1:7" x14ac:dyDescent="0.25">
      <c r="A106" t="s">
        <v>113</v>
      </c>
      <c r="B106" s="4">
        <v>2066</v>
      </c>
      <c r="C106" s="4">
        <v>246</v>
      </c>
      <c r="D106" s="5">
        <f t="shared" si="3"/>
        <v>0.11907066795740562</v>
      </c>
      <c r="E106" s="4">
        <v>23</v>
      </c>
      <c r="F106" s="5">
        <f t="shared" si="2"/>
        <v>9.3495934959349589E-2</v>
      </c>
      <c r="G106" s="4" t="s">
        <v>9</v>
      </c>
    </row>
    <row r="107" spans="1:7" x14ac:dyDescent="0.25">
      <c r="A107" t="s">
        <v>114</v>
      </c>
      <c r="B107" s="4">
        <v>1054</v>
      </c>
      <c r="C107" s="4">
        <v>457</v>
      </c>
      <c r="D107" s="5">
        <f t="shared" si="3"/>
        <v>0.43358633776091082</v>
      </c>
      <c r="E107" s="4">
        <v>113</v>
      </c>
      <c r="F107" s="5">
        <f t="shared" si="2"/>
        <v>0.24726477024070023</v>
      </c>
      <c r="G107" s="4" t="s">
        <v>9</v>
      </c>
    </row>
    <row r="108" spans="1:7" x14ac:dyDescent="0.25">
      <c r="A108" t="s">
        <v>115</v>
      </c>
      <c r="B108" s="4">
        <v>415</v>
      </c>
      <c r="C108" s="4">
        <v>50</v>
      </c>
      <c r="D108" s="5">
        <f t="shared" si="3"/>
        <v>0.12048192771084337</v>
      </c>
      <c r="E108" s="4">
        <v>0</v>
      </c>
      <c r="F108" s="5">
        <f t="shared" si="2"/>
        <v>0</v>
      </c>
      <c r="G108" s="4" t="s">
        <v>9</v>
      </c>
    </row>
    <row r="109" spans="1:7" x14ac:dyDescent="0.25">
      <c r="A109" t="s">
        <v>116</v>
      </c>
      <c r="B109" s="4">
        <v>137</v>
      </c>
      <c r="C109" s="4">
        <v>40</v>
      </c>
      <c r="D109" s="5">
        <f t="shared" si="3"/>
        <v>0.29197080291970801</v>
      </c>
      <c r="E109" s="4">
        <v>0</v>
      </c>
      <c r="F109" s="5">
        <f t="shared" si="2"/>
        <v>0</v>
      </c>
      <c r="G109" s="4" t="s">
        <v>9</v>
      </c>
    </row>
    <row r="110" spans="1:7" x14ac:dyDescent="0.25">
      <c r="A110" t="s">
        <v>117</v>
      </c>
      <c r="B110" s="4">
        <v>763</v>
      </c>
      <c r="C110" s="4">
        <v>178</v>
      </c>
      <c r="D110" s="5">
        <f t="shared" si="3"/>
        <v>0.23328964613368283</v>
      </c>
      <c r="E110" s="4">
        <v>15</v>
      </c>
      <c r="F110" s="5">
        <f t="shared" si="2"/>
        <v>8.4269662921348312E-2</v>
      </c>
      <c r="G110" s="4" t="s">
        <v>9</v>
      </c>
    </row>
    <row r="111" spans="1:7" x14ac:dyDescent="0.25">
      <c r="A111" t="s">
        <v>118</v>
      </c>
      <c r="B111" s="4">
        <v>68</v>
      </c>
      <c r="C111" s="4">
        <v>16</v>
      </c>
      <c r="D111" s="5">
        <f t="shared" si="3"/>
        <v>0.23529411764705882</v>
      </c>
      <c r="E111" s="4">
        <v>0</v>
      </c>
      <c r="F111" s="5">
        <f t="shared" si="2"/>
        <v>0</v>
      </c>
      <c r="G111" s="4" t="s">
        <v>9</v>
      </c>
    </row>
    <row r="112" spans="1:7" x14ac:dyDescent="0.25">
      <c r="A112" t="s">
        <v>119</v>
      </c>
      <c r="B112" s="4">
        <v>1141</v>
      </c>
      <c r="C112" s="4">
        <v>341</v>
      </c>
      <c r="D112" s="5">
        <f t="shared" si="3"/>
        <v>0.2988606485539001</v>
      </c>
      <c r="E112" s="4">
        <v>61</v>
      </c>
      <c r="F112" s="5">
        <f t="shared" si="2"/>
        <v>0.17888563049853373</v>
      </c>
      <c r="G112" s="4" t="s">
        <v>9</v>
      </c>
    </row>
    <row r="113" spans="1:7" x14ac:dyDescent="0.25">
      <c r="A113" t="s">
        <v>120</v>
      </c>
      <c r="B113" s="4">
        <v>1577</v>
      </c>
      <c r="C113" s="4">
        <v>216</v>
      </c>
      <c r="D113" s="5">
        <f t="shared" si="3"/>
        <v>0.13696892834495877</v>
      </c>
      <c r="E113" s="4">
        <v>0</v>
      </c>
      <c r="F113" s="5">
        <f t="shared" si="2"/>
        <v>0</v>
      </c>
      <c r="G113" s="4" t="s">
        <v>9</v>
      </c>
    </row>
    <row r="114" spans="1:7" x14ac:dyDescent="0.25">
      <c r="A114" t="s">
        <v>121</v>
      </c>
      <c r="B114" s="4">
        <v>741</v>
      </c>
      <c r="C114" s="4">
        <v>176</v>
      </c>
      <c r="D114" s="5">
        <f t="shared" si="3"/>
        <v>0.23751686909581646</v>
      </c>
      <c r="E114" s="4">
        <v>0</v>
      </c>
      <c r="F114" s="5">
        <f t="shared" si="2"/>
        <v>0</v>
      </c>
      <c r="G114" s="4" t="s">
        <v>9</v>
      </c>
    </row>
    <row r="115" spans="1:7" x14ac:dyDescent="0.25">
      <c r="A115" t="s">
        <v>122</v>
      </c>
      <c r="B115" s="4">
        <v>1676</v>
      </c>
      <c r="C115" s="4">
        <v>266</v>
      </c>
      <c r="D115" s="5">
        <f t="shared" si="3"/>
        <v>0.15871121718377088</v>
      </c>
      <c r="E115" s="4">
        <v>22</v>
      </c>
      <c r="F115" s="5">
        <f t="shared" si="2"/>
        <v>8.2706766917293228E-2</v>
      </c>
      <c r="G115" s="4" t="s">
        <v>9</v>
      </c>
    </row>
    <row r="116" spans="1:7" x14ac:dyDescent="0.25">
      <c r="A116" t="s">
        <v>123</v>
      </c>
      <c r="B116" s="4">
        <v>1400</v>
      </c>
      <c r="C116" s="4">
        <v>45</v>
      </c>
      <c r="D116" s="5">
        <f t="shared" si="3"/>
        <v>3.214285714285714E-2</v>
      </c>
      <c r="E116" s="4">
        <v>0</v>
      </c>
      <c r="F116" s="5">
        <f t="shared" si="2"/>
        <v>0</v>
      </c>
      <c r="G116" s="4" t="s">
        <v>9</v>
      </c>
    </row>
    <row r="117" spans="1:7" x14ac:dyDescent="0.25">
      <c r="A117" t="s">
        <v>124</v>
      </c>
      <c r="B117" s="4">
        <v>3739</v>
      </c>
      <c r="C117" s="4">
        <v>391</v>
      </c>
      <c r="D117" s="5">
        <f t="shared" si="3"/>
        <v>0.10457341535169831</v>
      </c>
      <c r="E117" s="4">
        <v>40</v>
      </c>
      <c r="F117" s="5">
        <f t="shared" si="2"/>
        <v>0.10230179028132992</v>
      </c>
      <c r="G117" s="4" t="s">
        <v>9</v>
      </c>
    </row>
    <row r="118" spans="1:7" x14ac:dyDescent="0.25">
      <c r="A118" t="s">
        <v>125</v>
      </c>
      <c r="B118" s="4">
        <v>163</v>
      </c>
      <c r="C118" s="4">
        <v>54</v>
      </c>
      <c r="D118" s="5">
        <f t="shared" si="3"/>
        <v>0.33128834355828218</v>
      </c>
      <c r="E118" s="4">
        <v>9</v>
      </c>
      <c r="F118" s="5">
        <f t="shared" si="2"/>
        <v>0.16666666666666666</v>
      </c>
      <c r="G118" s="4" t="s">
        <v>9</v>
      </c>
    </row>
    <row r="119" spans="1:7" x14ac:dyDescent="0.25">
      <c r="A119" t="s">
        <v>126</v>
      </c>
      <c r="B119" s="4">
        <v>3657</v>
      </c>
      <c r="C119" s="4">
        <v>784</v>
      </c>
      <c r="D119" s="5">
        <f t="shared" si="3"/>
        <v>0.21438337435056057</v>
      </c>
      <c r="E119" s="4">
        <v>289</v>
      </c>
      <c r="F119" s="5">
        <f t="shared" si="2"/>
        <v>0.36862244897959184</v>
      </c>
      <c r="G119" s="4" t="s">
        <v>9</v>
      </c>
    </row>
    <row r="120" spans="1:7" x14ac:dyDescent="0.25">
      <c r="A120" t="s">
        <v>127</v>
      </c>
      <c r="B120" s="4">
        <v>738</v>
      </c>
      <c r="C120" s="4">
        <v>433</v>
      </c>
      <c r="D120" s="5">
        <f t="shared" si="3"/>
        <v>0.58672086720867211</v>
      </c>
      <c r="E120" s="4">
        <v>433</v>
      </c>
      <c r="F120" s="5">
        <f t="shared" si="2"/>
        <v>1</v>
      </c>
      <c r="G120" s="4" t="s">
        <v>33</v>
      </c>
    </row>
    <row r="121" spans="1:7" x14ac:dyDescent="0.25">
      <c r="A121" t="s">
        <v>128</v>
      </c>
      <c r="B121" s="4">
        <v>1181</v>
      </c>
      <c r="C121" s="4">
        <v>203</v>
      </c>
      <c r="D121" s="5">
        <f t="shared" si="3"/>
        <v>0.17188823031329381</v>
      </c>
      <c r="E121" s="4">
        <v>18</v>
      </c>
      <c r="F121" s="5">
        <f t="shared" si="2"/>
        <v>8.8669950738916259E-2</v>
      </c>
      <c r="G121" s="4" t="s">
        <v>9</v>
      </c>
    </row>
    <row r="122" spans="1:7" x14ac:dyDescent="0.25">
      <c r="A122" t="s">
        <v>129</v>
      </c>
      <c r="B122" s="4">
        <v>975</v>
      </c>
      <c r="C122" s="4">
        <v>115</v>
      </c>
      <c r="D122" s="5">
        <f t="shared" si="3"/>
        <v>0.11794871794871795</v>
      </c>
      <c r="E122" s="4">
        <v>8</v>
      </c>
      <c r="F122" s="5">
        <f t="shared" si="2"/>
        <v>6.9565217391304349E-2</v>
      </c>
      <c r="G122" s="4" t="s">
        <v>9</v>
      </c>
    </row>
    <row r="123" spans="1:7" x14ac:dyDescent="0.25">
      <c r="A123" t="s">
        <v>130</v>
      </c>
      <c r="B123" s="4">
        <v>5913</v>
      </c>
      <c r="C123" s="4">
        <v>1097</v>
      </c>
      <c r="D123" s="5">
        <f t="shared" si="3"/>
        <v>0.18552342296634533</v>
      </c>
      <c r="E123" s="4">
        <v>260</v>
      </c>
      <c r="F123" s="5">
        <f t="shared" si="2"/>
        <v>0.23701002734731086</v>
      </c>
      <c r="G123" s="4" t="s">
        <v>9</v>
      </c>
    </row>
    <row r="124" spans="1:7" x14ac:dyDescent="0.25">
      <c r="A124" t="s">
        <v>131</v>
      </c>
      <c r="B124" s="4">
        <v>1511</v>
      </c>
      <c r="C124" s="4">
        <v>647</v>
      </c>
      <c r="D124" s="5">
        <f t="shared" si="3"/>
        <v>0.42819324950363996</v>
      </c>
      <c r="E124" s="4">
        <v>550</v>
      </c>
      <c r="F124" s="5">
        <f t="shared" si="2"/>
        <v>0.85007727975270475</v>
      </c>
      <c r="G124" s="4" t="s">
        <v>33</v>
      </c>
    </row>
    <row r="125" spans="1:7" x14ac:dyDescent="0.25">
      <c r="A125" t="s">
        <v>132</v>
      </c>
      <c r="B125" s="4">
        <v>701</v>
      </c>
      <c r="C125" s="4">
        <v>259</v>
      </c>
      <c r="D125" s="5">
        <f t="shared" si="3"/>
        <v>0.369472182596291</v>
      </c>
      <c r="E125" s="4">
        <v>73</v>
      </c>
      <c r="F125" s="5">
        <f t="shared" si="2"/>
        <v>0.28185328185328185</v>
      </c>
      <c r="G125" s="4" t="s">
        <v>9</v>
      </c>
    </row>
    <row r="126" spans="1:7" x14ac:dyDescent="0.25">
      <c r="A126" t="s">
        <v>133</v>
      </c>
      <c r="B126" s="4">
        <v>8681</v>
      </c>
      <c r="C126" s="4">
        <v>2057</v>
      </c>
      <c r="D126" s="5">
        <f t="shared" si="3"/>
        <v>0.23695426794148139</v>
      </c>
      <c r="E126" s="4">
        <v>686</v>
      </c>
      <c r="F126" s="5">
        <f t="shared" si="2"/>
        <v>0.33349538162372389</v>
      </c>
      <c r="G126" s="4" t="s">
        <v>9</v>
      </c>
    </row>
    <row r="127" spans="1:7" x14ac:dyDescent="0.25">
      <c r="A127" t="s">
        <v>134</v>
      </c>
      <c r="B127" s="4">
        <v>1843</v>
      </c>
      <c r="C127" s="4">
        <v>294</v>
      </c>
      <c r="D127" s="5">
        <f t="shared" si="3"/>
        <v>0.15952251763429193</v>
      </c>
      <c r="E127" s="4">
        <v>33</v>
      </c>
      <c r="F127" s="5">
        <f t="shared" si="2"/>
        <v>0.11224489795918367</v>
      </c>
      <c r="G127" s="4" t="s">
        <v>9</v>
      </c>
    </row>
    <row r="128" spans="1:7" x14ac:dyDescent="0.25">
      <c r="A128" t="s">
        <v>135</v>
      </c>
      <c r="B128" s="4">
        <v>863</v>
      </c>
      <c r="C128" s="4">
        <v>78</v>
      </c>
      <c r="D128" s="5">
        <f t="shared" si="3"/>
        <v>9.0382387022016217E-2</v>
      </c>
      <c r="E128" s="4">
        <v>0</v>
      </c>
      <c r="F128" s="5">
        <f t="shared" si="2"/>
        <v>0</v>
      </c>
      <c r="G128" s="4" t="s">
        <v>9</v>
      </c>
    </row>
    <row r="129" spans="1:7" x14ac:dyDescent="0.25">
      <c r="A129" t="s">
        <v>136</v>
      </c>
      <c r="B129" s="4">
        <v>7314</v>
      </c>
      <c r="C129" s="4">
        <v>2271</v>
      </c>
      <c r="D129" s="5">
        <f t="shared" si="3"/>
        <v>0.31050041017227237</v>
      </c>
      <c r="E129" s="4">
        <v>551</v>
      </c>
      <c r="F129" s="5">
        <f t="shared" si="2"/>
        <v>0.2426243945398503</v>
      </c>
      <c r="G129" s="4" t="s">
        <v>9</v>
      </c>
    </row>
    <row r="130" spans="1:7" x14ac:dyDescent="0.25">
      <c r="A130" t="s">
        <v>137</v>
      </c>
      <c r="B130" s="4">
        <v>1492</v>
      </c>
      <c r="C130" s="4">
        <v>291</v>
      </c>
      <c r="D130" s="5">
        <f t="shared" si="3"/>
        <v>0.19504021447721179</v>
      </c>
      <c r="E130" s="4">
        <v>57</v>
      </c>
      <c r="F130" s="5">
        <f t="shared" si="2"/>
        <v>0.19587628865979381</v>
      </c>
      <c r="G130" s="4" t="s">
        <v>9</v>
      </c>
    </row>
    <row r="131" spans="1:7" x14ac:dyDescent="0.25">
      <c r="A131" t="s">
        <v>138</v>
      </c>
      <c r="B131" s="4">
        <v>541</v>
      </c>
      <c r="C131" s="4">
        <v>55</v>
      </c>
      <c r="D131" s="5">
        <f t="shared" si="3"/>
        <v>0.10166358595194085</v>
      </c>
      <c r="E131" s="4">
        <v>0</v>
      </c>
      <c r="F131" s="5">
        <f t="shared" si="2"/>
        <v>0</v>
      </c>
      <c r="G131" s="4" t="s">
        <v>9</v>
      </c>
    </row>
    <row r="132" spans="1:7" x14ac:dyDescent="0.25">
      <c r="A132" t="s">
        <v>139</v>
      </c>
      <c r="B132" s="4">
        <v>4258</v>
      </c>
      <c r="C132" s="4">
        <v>1883</v>
      </c>
      <c r="D132" s="5">
        <f t="shared" si="3"/>
        <v>0.44222639736965713</v>
      </c>
      <c r="E132" s="4">
        <v>1663</v>
      </c>
      <c r="F132" s="5">
        <f t="shared" ref="F132:F196" si="4">E132/C132</f>
        <v>0.88316516197557093</v>
      </c>
      <c r="G132" s="4" t="s">
        <v>33</v>
      </c>
    </row>
    <row r="133" spans="1:7" x14ac:dyDescent="0.25">
      <c r="A133" t="s">
        <v>140</v>
      </c>
      <c r="B133" s="4">
        <v>1059</v>
      </c>
      <c r="C133" s="4">
        <v>236</v>
      </c>
      <c r="D133" s="5">
        <f t="shared" ref="D133:D195" si="5">C133/B133</f>
        <v>0.22285174693106705</v>
      </c>
      <c r="E133" s="4">
        <v>34</v>
      </c>
      <c r="F133" s="5">
        <f t="shared" si="4"/>
        <v>0.1440677966101695</v>
      </c>
      <c r="G133" s="4" t="s">
        <v>9</v>
      </c>
    </row>
    <row r="134" spans="1:7" x14ac:dyDescent="0.25">
      <c r="A134" t="s">
        <v>141</v>
      </c>
      <c r="B134" s="4">
        <v>145</v>
      </c>
      <c r="C134" s="4">
        <v>21</v>
      </c>
      <c r="D134" s="5">
        <f t="shared" si="5"/>
        <v>0.14482758620689656</v>
      </c>
      <c r="E134" s="4">
        <v>0</v>
      </c>
      <c r="F134" s="5">
        <f t="shared" si="4"/>
        <v>0</v>
      </c>
      <c r="G134" s="4" t="s">
        <v>9</v>
      </c>
    </row>
    <row r="135" spans="1:7" x14ac:dyDescent="0.25">
      <c r="A135" t="s">
        <v>142</v>
      </c>
      <c r="B135" s="4">
        <v>1311</v>
      </c>
      <c r="C135" s="4">
        <v>297</v>
      </c>
      <c r="D135" s="5">
        <f t="shared" si="5"/>
        <v>0.22654462242562928</v>
      </c>
      <c r="E135" s="4">
        <v>36</v>
      </c>
      <c r="F135" s="5">
        <f t="shared" si="4"/>
        <v>0.12121212121212122</v>
      </c>
      <c r="G135" s="4" t="s">
        <v>9</v>
      </c>
    </row>
    <row r="136" spans="1:7" x14ac:dyDescent="0.25">
      <c r="A136" t="s">
        <v>143</v>
      </c>
      <c r="B136" s="4">
        <v>471</v>
      </c>
      <c r="C136" s="4">
        <v>65</v>
      </c>
      <c r="D136" s="5">
        <f t="shared" si="5"/>
        <v>0.13800424628450106</v>
      </c>
      <c r="E136" s="4">
        <v>0</v>
      </c>
      <c r="F136" s="5">
        <f t="shared" si="4"/>
        <v>0</v>
      </c>
      <c r="G136" s="4" t="s">
        <v>9</v>
      </c>
    </row>
    <row r="137" spans="1:7" x14ac:dyDescent="0.25">
      <c r="A137" t="s">
        <v>144</v>
      </c>
      <c r="B137" s="4">
        <v>1506</v>
      </c>
      <c r="C137" s="4">
        <v>658</v>
      </c>
      <c r="D137" s="5">
        <f t="shared" si="5"/>
        <v>0.43691899070385126</v>
      </c>
      <c r="E137" s="4">
        <v>582</v>
      </c>
      <c r="F137" s="5">
        <f t="shared" si="4"/>
        <v>0.88449848024316113</v>
      </c>
      <c r="G137" s="4" t="s">
        <v>33</v>
      </c>
    </row>
    <row r="138" spans="1:7" x14ac:dyDescent="0.25">
      <c r="A138" t="s">
        <v>145</v>
      </c>
      <c r="B138" s="4">
        <v>1401</v>
      </c>
      <c r="C138" s="4">
        <v>210</v>
      </c>
      <c r="D138" s="5">
        <f t="shared" si="5"/>
        <v>0.14989293361884368</v>
      </c>
      <c r="E138" s="4">
        <v>53</v>
      </c>
      <c r="F138" s="5">
        <f t="shared" si="4"/>
        <v>0.25238095238095237</v>
      </c>
      <c r="G138" s="4" t="s">
        <v>9</v>
      </c>
    </row>
    <row r="139" spans="1:7" x14ac:dyDescent="0.25">
      <c r="A139" t="s">
        <v>146</v>
      </c>
      <c r="B139" s="4">
        <v>4079</v>
      </c>
      <c r="C139" s="4">
        <v>482</v>
      </c>
      <c r="D139" s="5">
        <f t="shared" si="5"/>
        <v>0.11816621721010051</v>
      </c>
      <c r="E139" s="4">
        <v>76</v>
      </c>
      <c r="F139" s="5">
        <f t="shared" si="4"/>
        <v>0.15767634854771784</v>
      </c>
      <c r="G139" s="4" t="s">
        <v>9</v>
      </c>
    </row>
    <row r="140" spans="1:7" x14ac:dyDescent="0.25">
      <c r="A140" t="s">
        <v>147</v>
      </c>
      <c r="B140" s="4">
        <v>1363</v>
      </c>
      <c r="C140" s="4">
        <v>61</v>
      </c>
      <c r="D140" s="5">
        <f t="shared" si="5"/>
        <v>4.475421863536317E-2</v>
      </c>
      <c r="E140" s="4">
        <v>0</v>
      </c>
      <c r="F140" s="5">
        <f t="shared" si="4"/>
        <v>0</v>
      </c>
      <c r="G140" s="4" t="s">
        <v>9</v>
      </c>
    </row>
    <row r="141" spans="1:7" x14ac:dyDescent="0.25">
      <c r="A141" t="s">
        <v>148</v>
      </c>
      <c r="B141" s="4">
        <v>911</v>
      </c>
      <c r="C141" s="4">
        <v>361</v>
      </c>
      <c r="D141" s="5">
        <f t="shared" si="5"/>
        <v>0.39626783754116357</v>
      </c>
      <c r="E141" s="4">
        <v>103</v>
      </c>
      <c r="F141" s="5">
        <f t="shared" si="4"/>
        <v>0.2853185595567867</v>
      </c>
      <c r="G141" s="4" t="s">
        <v>9</v>
      </c>
    </row>
    <row r="142" spans="1:7" x14ac:dyDescent="0.25">
      <c r="A142" t="s">
        <v>149</v>
      </c>
      <c r="B142" s="4">
        <v>3384</v>
      </c>
      <c r="C142" s="4">
        <v>655</v>
      </c>
      <c r="D142" s="5">
        <f t="shared" si="5"/>
        <v>0.1935579196217494</v>
      </c>
      <c r="E142" s="4">
        <v>176</v>
      </c>
      <c r="F142" s="5">
        <f t="shared" si="4"/>
        <v>0.26870229007633589</v>
      </c>
      <c r="G142" s="4" t="s">
        <v>9</v>
      </c>
    </row>
    <row r="143" spans="1:7" x14ac:dyDescent="0.25">
      <c r="A143" t="s">
        <v>150</v>
      </c>
      <c r="B143" s="4">
        <v>130</v>
      </c>
      <c r="C143" s="4">
        <v>20</v>
      </c>
      <c r="D143" s="5">
        <f t="shared" si="5"/>
        <v>0.15384615384615385</v>
      </c>
      <c r="E143" s="4">
        <v>0</v>
      </c>
      <c r="F143" s="5">
        <f t="shared" si="4"/>
        <v>0</v>
      </c>
      <c r="G143" s="4" t="s">
        <v>9</v>
      </c>
    </row>
    <row r="144" spans="1:7" x14ac:dyDescent="0.25">
      <c r="A144" t="s">
        <v>151</v>
      </c>
      <c r="B144" s="4">
        <v>3293</v>
      </c>
      <c r="C144" s="4">
        <v>1303</v>
      </c>
      <c r="D144" s="5">
        <f t="shared" si="5"/>
        <v>0.39568782265411478</v>
      </c>
      <c r="E144" s="4">
        <v>0</v>
      </c>
      <c r="F144" s="5">
        <f t="shared" si="4"/>
        <v>0</v>
      </c>
      <c r="G144" s="4" t="s">
        <v>9</v>
      </c>
    </row>
    <row r="145" spans="1:7" x14ac:dyDescent="0.25">
      <c r="A145" t="s">
        <v>152</v>
      </c>
      <c r="B145" s="4">
        <v>858</v>
      </c>
      <c r="C145" s="4">
        <v>32</v>
      </c>
      <c r="D145" s="5">
        <f t="shared" si="5"/>
        <v>3.7296037296037296E-2</v>
      </c>
      <c r="E145" s="4">
        <v>0</v>
      </c>
      <c r="F145" s="5">
        <f t="shared" si="4"/>
        <v>0</v>
      </c>
      <c r="G145" s="4" t="s">
        <v>9</v>
      </c>
    </row>
    <row r="146" spans="1:7" x14ac:dyDescent="0.25">
      <c r="A146" t="s">
        <v>153</v>
      </c>
      <c r="B146" s="4">
        <v>941</v>
      </c>
      <c r="C146" s="4">
        <v>211</v>
      </c>
      <c r="D146" s="5">
        <f t="shared" si="5"/>
        <v>0.22422954303931988</v>
      </c>
      <c r="E146" s="4">
        <v>22</v>
      </c>
      <c r="F146" s="5">
        <f t="shared" si="4"/>
        <v>0.10426540284360189</v>
      </c>
      <c r="G146" s="4" t="s">
        <v>9</v>
      </c>
    </row>
    <row r="147" spans="1:7" x14ac:dyDescent="0.25">
      <c r="A147" t="s">
        <v>154</v>
      </c>
      <c r="B147" s="4">
        <v>522</v>
      </c>
      <c r="C147" s="4">
        <v>107</v>
      </c>
      <c r="D147" s="5">
        <f t="shared" si="5"/>
        <v>0.2049808429118774</v>
      </c>
      <c r="E147" s="4">
        <v>5</v>
      </c>
      <c r="F147" s="5">
        <f t="shared" si="4"/>
        <v>4.6728971962616821E-2</v>
      </c>
      <c r="G147" s="4" t="s">
        <v>9</v>
      </c>
    </row>
    <row r="148" spans="1:7" x14ac:dyDescent="0.25">
      <c r="A148" t="s">
        <v>155</v>
      </c>
      <c r="B148" s="4">
        <v>1123</v>
      </c>
      <c r="C148" s="4">
        <v>278</v>
      </c>
      <c r="D148" s="5">
        <f t="shared" si="5"/>
        <v>0.24755120213713269</v>
      </c>
      <c r="E148" s="4">
        <v>53</v>
      </c>
      <c r="F148" s="5">
        <f t="shared" si="4"/>
        <v>0.1906474820143885</v>
      </c>
      <c r="G148" s="4" t="s">
        <v>9</v>
      </c>
    </row>
    <row r="149" spans="1:7" x14ac:dyDescent="0.25">
      <c r="A149" t="s">
        <v>156</v>
      </c>
      <c r="B149" s="4">
        <v>719</v>
      </c>
      <c r="C149" s="4">
        <v>88</v>
      </c>
      <c r="D149" s="5">
        <f t="shared" si="5"/>
        <v>0.12239221140472879</v>
      </c>
      <c r="E149" s="4">
        <v>0</v>
      </c>
      <c r="F149" s="5">
        <f t="shared" si="4"/>
        <v>0</v>
      </c>
      <c r="G149" s="4" t="s">
        <v>9</v>
      </c>
    </row>
    <row r="150" spans="1:7" x14ac:dyDescent="0.25">
      <c r="A150" t="s">
        <v>157</v>
      </c>
      <c r="B150" s="4">
        <v>385</v>
      </c>
      <c r="C150" s="4">
        <v>52</v>
      </c>
      <c r="D150" s="5">
        <f t="shared" si="5"/>
        <v>0.13506493506493505</v>
      </c>
      <c r="E150" s="4">
        <v>0</v>
      </c>
      <c r="F150" s="5">
        <f t="shared" si="4"/>
        <v>0</v>
      </c>
      <c r="G150" s="4" t="s">
        <v>9</v>
      </c>
    </row>
    <row r="151" spans="1:7" x14ac:dyDescent="0.25">
      <c r="A151" t="s">
        <v>158</v>
      </c>
      <c r="B151" s="4">
        <v>439</v>
      </c>
      <c r="C151" s="4">
        <v>52</v>
      </c>
      <c r="D151" s="5">
        <f t="shared" si="5"/>
        <v>0.11845102505694761</v>
      </c>
      <c r="E151" s="4">
        <v>0</v>
      </c>
      <c r="F151" s="5">
        <f t="shared" si="4"/>
        <v>0</v>
      </c>
      <c r="G151" s="4" t="s">
        <v>9</v>
      </c>
    </row>
    <row r="152" spans="1:7" x14ac:dyDescent="0.25">
      <c r="A152" t="s">
        <v>159</v>
      </c>
      <c r="B152" s="4">
        <v>2278</v>
      </c>
      <c r="C152" s="4">
        <v>359</v>
      </c>
      <c r="D152" s="5">
        <f t="shared" si="5"/>
        <v>0.15759438103599649</v>
      </c>
      <c r="E152" s="4">
        <v>59</v>
      </c>
      <c r="F152" s="5">
        <f t="shared" si="4"/>
        <v>0.16434540389972144</v>
      </c>
      <c r="G152" s="4" t="s">
        <v>9</v>
      </c>
    </row>
    <row r="153" spans="1:7" x14ac:dyDescent="0.25">
      <c r="A153" t="s">
        <v>160</v>
      </c>
      <c r="B153" s="4">
        <v>1129</v>
      </c>
      <c r="C153" s="4">
        <v>242</v>
      </c>
      <c r="D153" s="5">
        <f t="shared" si="5"/>
        <v>0.21434898139946856</v>
      </c>
      <c r="E153" s="4">
        <v>11</v>
      </c>
      <c r="F153" s="5">
        <f t="shared" si="4"/>
        <v>4.5454545454545456E-2</v>
      </c>
      <c r="G153" s="4" t="s">
        <v>9</v>
      </c>
    </row>
    <row r="154" spans="1:7" x14ac:dyDescent="0.25">
      <c r="A154" t="s">
        <v>161</v>
      </c>
      <c r="B154" s="4">
        <v>400</v>
      </c>
      <c r="C154" s="4">
        <v>98</v>
      </c>
      <c r="D154" s="5">
        <f t="shared" si="5"/>
        <v>0.245</v>
      </c>
      <c r="E154" s="4">
        <v>7</v>
      </c>
      <c r="F154" s="5">
        <f t="shared" si="4"/>
        <v>7.1428571428571425E-2</v>
      </c>
      <c r="G154" s="4" t="s">
        <v>9</v>
      </c>
    </row>
    <row r="155" spans="1:7" x14ac:dyDescent="0.25">
      <c r="A155" t="s">
        <v>162</v>
      </c>
      <c r="B155" s="4">
        <v>787</v>
      </c>
      <c r="C155" s="4">
        <v>368</v>
      </c>
      <c r="D155" s="5">
        <f t="shared" si="5"/>
        <v>0.46759847522236342</v>
      </c>
      <c r="E155" s="4">
        <v>334</v>
      </c>
      <c r="F155" s="5">
        <f t="shared" si="4"/>
        <v>0.90760869565217395</v>
      </c>
      <c r="G155" s="4" t="s">
        <v>33</v>
      </c>
    </row>
    <row r="156" spans="1:7" x14ac:dyDescent="0.25">
      <c r="A156" t="s">
        <v>163</v>
      </c>
      <c r="B156" s="4">
        <v>2182</v>
      </c>
      <c r="C156" s="4">
        <v>510</v>
      </c>
      <c r="D156" s="5">
        <f t="shared" si="5"/>
        <v>0.23373052245646195</v>
      </c>
      <c r="E156" s="4">
        <v>37</v>
      </c>
      <c r="F156" s="5">
        <f t="shared" si="4"/>
        <v>7.2549019607843143E-2</v>
      </c>
      <c r="G156" s="4" t="s">
        <v>9</v>
      </c>
    </row>
    <row r="157" spans="1:7" x14ac:dyDescent="0.25">
      <c r="A157" t="s">
        <v>164</v>
      </c>
      <c r="B157" s="4">
        <v>2347</v>
      </c>
      <c r="C157" s="4">
        <v>432</v>
      </c>
      <c r="D157" s="5">
        <f t="shared" si="5"/>
        <v>0.18406476352790796</v>
      </c>
      <c r="E157" s="4">
        <v>211</v>
      </c>
      <c r="F157" s="5">
        <f t="shared" si="4"/>
        <v>0.48842592592592593</v>
      </c>
      <c r="G157" s="4" t="s">
        <v>9</v>
      </c>
    </row>
    <row r="158" spans="1:7" x14ac:dyDescent="0.25">
      <c r="A158" t="s">
        <v>165</v>
      </c>
      <c r="B158" s="4">
        <v>1302</v>
      </c>
      <c r="C158" s="4">
        <v>184</v>
      </c>
      <c r="D158" s="5">
        <f t="shared" si="5"/>
        <v>0.14132104454685099</v>
      </c>
      <c r="E158" s="4">
        <v>17</v>
      </c>
      <c r="F158" s="5">
        <f t="shared" si="4"/>
        <v>9.2391304347826081E-2</v>
      </c>
      <c r="G158" s="4" t="s">
        <v>9</v>
      </c>
    </row>
    <row r="159" spans="1:7" x14ac:dyDescent="0.25">
      <c r="A159" t="s">
        <v>166</v>
      </c>
      <c r="B159" s="4">
        <v>1930</v>
      </c>
      <c r="C159" s="4">
        <v>319</v>
      </c>
      <c r="D159" s="5">
        <f t="shared" si="5"/>
        <v>0.16528497409326426</v>
      </c>
      <c r="E159" s="4">
        <v>42</v>
      </c>
      <c r="F159" s="5">
        <f t="shared" si="4"/>
        <v>0.13166144200626959</v>
      </c>
      <c r="G159" s="4" t="s">
        <v>9</v>
      </c>
    </row>
    <row r="160" spans="1:7" x14ac:dyDescent="0.25">
      <c r="A160" t="s">
        <v>167</v>
      </c>
      <c r="B160" s="4">
        <v>3720</v>
      </c>
      <c r="C160" s="4">
        <v>757</v>
      </c>
      <c r="D160" s="5">
        <f t="shared" si="5"/>
        <v>0.20349462365591398</v>
      </c>
      <c r="E160" s="4">
        <v>181</v>
      </c>
      <c r="F160" s="5">
        <f t="shared" si="4"/>
        <v>0.23910171730515192</v>
      </c>
      <c r="G160" s="4" t="s">
        <v>9</v>
      </c>
    </row>
    <row r="161" spans="1:7" x14ac:dyDescent="0.25">
      <c r="A161" t="s">
        <v>168</v>
      </c>
      <c r="B161" s="4">
        <v>535</v>
      </c>
      <c r="C161" s="4">
        <v>142</v>
      </c>
      <c r="D161" s="5">
        <f t="shared" si="5"/>
        <v>0.26542056074766357</v>
      </c>
      <c r="E161" s="4">
        <v>29</v>
      </c>
      <c r="F161" s="5">
        <f t="shared" si="4"/>
        <v>0.20422535211267606</v>
      </c>
      <c r="G161" s="4" t="s">
        <v>9</v>
      </c>
    </row>
    <row r="162" spans="1:7" x14ac:dyDescent="0.25">
      <c r="A162" t="s">
        <v>169</v>
      </c>
      <c r="B162" s="4">
        <v>613</v>
      </c>
      <c r="C162" s="4">
        <v>120</v>
      </c>
      <c r="D162" s="5">
        <f t="shared" si="5"/>
        <v>0.19575856443719414</v>
      </c>
      <c r="E162" s="4">
        <v>3</v>
      </c>
      <c r="F162" s="5">
        <f t="shared" si="4"/>
        <v>2.5000000000000001E-2</v>
      </c>
      <c r="G162" s="4" t="s">
        <v>9</v>
      </c>
    </row>
    <row r="163" spans="1:7" x14ac:dyDescent="0.25">
      <c r="A163" t="s">
        <v>170</v>
      </c>
      <c r="B163" s="4">
        <v>1749</v>
      </c>
      <c r="C163" s="4">
        <v>215</v>
      </c>
      <c r="D163" s="5">
        <f t="shared" si="5"/>
        <v>0.12292738707833048</v>
      </c>
      <c r="E163" s="4">
        <v>48</v>
      </c>
      <c r="F163" s="5">
        <f t="shared" si="4"/>
        <v>0.22325581395348837</v>
      </c>
      <c r="G163" s="4" t="s">
        <v>9</v>
      </c>
    </row>
    <row r="164" spans="1:7" x14ac:dyDescent="0.25">
      <c r="A164" t="s">
        <v>171</v>
      </c>
      <c r="B164" s="4">
        <v>3378</v>
      </c>
      <c r="C164" s="4">
        <v>746</v>
      </c>
      <c r="D164" s="5">
        <f t="shared" si="5"/>
        <v>0.22084073416222616</v>
      </c>
      <c r="E164" s="4">
        <v>281</v>
      </c>
      <c r="F164" s="5">
        <f t="shared" si="4"/>
        <v>0.37667560321715815</v>
      </c>
      <c r="G164" s="4" t="s">
        <v>9</v>
      </c>
    </row>
    <row r="165" spans="1:7" x14ac:dyDescent="0.25">
      <c r="A165" t="s">
        <v>172</v>
      </c>
      <c r="B165" s="4">
        <v>436</v>
      </c>
      <c r="C165" s="4">
        <v>156</v>
      </c>
      <c r="D165" s="5">
        <f t="shared" si="5"/>
        <v>0.3577981651376147</v>
      </c>
      <c r="E165" s="4">
        <v>2</v>
      </c>
      <c r="F165" s="5">
        <f t="shared" si="4"/>
        <v>1.282051282051282E-2</v>
      </c>
      <c r="G165" s="4" t="s">
        <v>9</v>
      </c>
    </row>
    <row r="166" spans="1:7" x14ac:dyDescent="0.25">
      <c r="A166" t="s">
        <v>173</v>
      </c>
      <c r="B166" s="4">
        <v>934</v>
      </c>
      <c r="C166" s="4">
        <v>80</v>
      </c>
      <c r="D166" s="5">
        <f t="shared" si="5"/>
        <v>8.5653104925053528E-2</v>
      </c>
      <c r="E166" s="4">
        <v>0</v>
      </c>
      <c r="F166" s="5">
        <f t="shared" si="4"/>
        <v>0</v>
      </c>
      <c r="G166" s="4" t="s">
        <v>9</v>
      </c>
    </row>
    <row r="167" spans="1:7" x14ac:dyDescent="0.25">
      <c r="A167" t="s">
        <v>174</v>
      </c>
      <c r="B167" s="4">
        <v>3819</v>
      </c>
      <c r="C167" s="4">
        <v>692</v>
      </c>
      <c r="D167" s="5">
        <f t="shared" si="5"/>
        <v>0.18119926682377585</v>
      </c>
      <c r="E167" s="4">
        <v>26</v>
      </c>
      <c r="F167" s="5">
        <f t="shared" si="4"/>
        <v>3.7572254335260118E-2</v>
      </c>
      <c r="G167" s="4" t="s">
        <v>9</v>
      </c>
    </row>
    <row r="168" spans="1:7" x14ac:dyDescent="0.25">
      <c r="A168" t="s">
        <v>175</v>
      </c>
      <c r="B168" s="4">
        <v>575</v>
      </c>
      <c r="C168" s="4">
        <v>312</v>
      </c>
      <c r="D168" s="5">
        <f t="shared" si="5"/>
        <v>0.54260869565217396</v>
      </c>
      <c r="E168" s="4">
        <v>119</v>
      </c>
      <c r="F168" s="5">
        <f t="shared" si="4"/>
        <v>0.38141025641025639</v>
      </c>
      <c r="G168" s="4" t="s">
        <v>9</v>
      </c>
    </row>
    <row r="169" spans="1:7" x14ac:dyDescent="0.25">
      <c r="A169" t="s">
        <v>176</v>
      </c>
      <c r="B169" s="4">
        <v>2145</v>
      </c>
      <c r="C169" s="4">
        <v>554</v>
      </c>
      <c r="D169" s="5">
        <f t="shared" si="5"/>
        <v>0.25827505827505826</v>
      </c>
      <c r="E169" s="4">
        <v>140</v>
      </c>
      <c r="F169" s="5">
        <f t="shared" si="4"/>
        <v>0.25270758122743681</v>
      </c>
      <c r="G169" s="4" t="s">
        <v>9</v>
      </c>
    </row>
    <row r="170" spans="1:7" x14ac:dyDescent="0.25">
      <c r="A170" t="s">
        <v>177</v>
      </c>
      <c r="B170" s="4">
        <v>535</v>
      </c>
      <c r="C170" s="4">
        <v>192</v>
      </c>
      <c r="D170" s="5">
        <f t="shared" si="5"/>
        <v>0.35887850467289717</v>
      </c>
      <c r="E170" s="4">
        <v>48</v>
      </c>
      <c r="F170" s="5">
        <f t="shared" si="4"/>
        <v>0.25</v>
      </c>
      <c r="G170" s="4" t="s">
        <v>9</v>
      </c>
    </row>
    <row r="171" spans="1:7" x14ac:dyDescent="0.25">
      <c r="A171" t="s">
        <v>178</v>
      </c>
      <c r="B171" s="4">
        <v>11812</v>
      </c>
      <c r="C171" s="4">
        <v>3044</v>
      </c>
      <c r="D171" s="5">
        <f t="shared" si="5"/>
        <v>0.25770402980020318</v>
      </c>
      <c r="E171" s="4">
        <v>496</v>
      </c>
      <c r="F171" s="5">
        <f t="shared" si="4"/>
        <v>0.16294349540078842</v>
      </c>
      <c r="G171" s="4" t="s">
        <v>9</v>
      </c>
    </row>
    <row r="172" spans="1:7" x14ac:dyDescent="0.25">
      <c r="A172" t="s">
        <v>179</v>
      </c>
      <c r="B172" s="4">
        <v>3249</v>
      </c>
      <c r="C172" s="4">
        <v>807</v>
      </c>
      <c r="D172" s="5">
        <f t="shared" si="5"/>
        <v>0.24838411819021236</v>
      </c>
      <c r="E172" s="4">
        <v>87</v>
      </c>
      <c r="F172" s="5">
        <f t="shared" si="4"/>
        <v>0.10780669144981413</v>
      </c>
      <c r="G172" s="4" t="s">
        <v>9</v>
      </c>
    </row>
    <row r="173" spans="1:7" x14ac:dyDescent="0.25">
      <c r="A173" t="s">
        <v>180</v>
      </c>
      <c r="B173" s="4">
        <v>853</v>
      </c>
      <c r="C173" s="4">
        <v>100</v>
      </c>
      <c r="D173" s="5">
        <f t="shared" si="5"/>
        <v>0.11723329425556858</v>
      </c>
      <c r="E173" s="4">
        <v>0</v>
      </c>
      <c r="F173" s="5">
        <f t="shared" si="4"/>
        <v>0</v>
      </c>
      <c r="G173" s="4" t="s">
        <v>9</v>
      </c>
    </row>
    <row r="174" spans="1:7" x14ac:dyDescent="0.25">
      <c r="A174" t="s">
        <v>181</v>
      </c>
      <c r="B174" s="4">
        <v>5942</v>
      </c>
      <c r="C174" s="4">
        <v>461</v>
      </c>
      <c r="D174" s="5">
        <f t="shared" si="5"/>
        <v>7.7583305284416024E-2</v>
      </c>
      <c r="E174" s="4">
        <v>48</v>
      </c>
      <c r="F174" s="5">
        <f t="shared" si="4"/>
        <v>0.10412147505422993</v>
      </c>
      <c r="G174" s="4" t="s">
        <v>9</v>
      </c>
    </row>
    <row r="175" spans="1:7" x14ac:dyDescent="0.25">
      <c r="A175" t="s">
        <v>182</v>
      </c>
      <c r="B175" s="4">
        <v>4690</v>
      </c>
      <c r="C175" s="4">
        <v>1535</v>
      </c>
      <c r="D175" s="5">
        <f t="shared" si="5"/>
        <v>0.3272921108742004</v>
      </c>
      <c r="E175" s="4">
        <v>965</v>
      </c>
      <c r="F175" s="5">
        <f t="shared" si="4"/>
        <v>0.62866449511400646</v>
      </c>
      <c r="G175" s="4" t="s">
        <v>33</v>
      </c>
    </row>
    <row r="176" spans="1:7" x14ac:dyDescent="0.25">
      <c r="A176" s="6" t="s">
        <v>183</v>
      </c>
      <c r="B176" s="7"/>
      <c r="C176" s="7"/>
      <c r="D176" s="8" t="e">
        <f t="shared" si="5"/>
        <v>#DIV/0!</v>
      </c>
      <c r="E176" s="7"/>
      <c r="F176" s="8" t="e">
        <f t="shared" si="4"/>
        <v>#DIV/0!</v>
      </c>
      <c r="G176" s="7"/>
    </row>
    <row r="177" spans="1:7" x14ac:dyDescent="0.25">
      <c r="A177" t="s">
        <v>184</v>
      </c>
      <c r="B177" s="4">
        <v>4485</v>
      </c>
      <c r="C177" s="4">
        <v>733</v>
      </c>
      <c r="D177" s="5">
        <f t="shared" si="5"/>
        <v>0.16343366778149387</v>
      </c>
      <c r="E177" s="4">
        <v>114</v>
      </c>
      <c r="F177" s="5">
        <f t="shared" si="4"/>
        <v>0.15552523874488403</v>
      </c>
      <c r="G177" s="4" t="s">
        <v>9</v>
      </c>
    </row>
    <row r="178" spans="1:7" x14ac:dyDescent="0.25">
      <c r="A178" t="s">
        <v>185</v>
      </c>
      <c r="B178" s="4">
        <v>948</v>
      </c>
      <c r="C178" s="4">
        <v>192</v>
      </c>
      <c r="D178" s="5">
        <f t="shared" si="5"/>
        <v>0.20253164556962025</v>
      </c>
      <c r="E178" s="4">
        <v>27</v>
      </c>
      <c r="F178" s="5">
        <f t="shared" si="4"/>
        <v>0.140625</v>
      </c>
      <c r="G178" s="4" t="s">
        <v>9</v>
      </c>
    </row>
    <row r="179" spans="1:7" x14ac:dyDescent="0.25">
      <c r="A179" t="s">
        <v>186</v>
      </c>
      <c r="B179" s="4">
        <v>356</v>
      </c>
      <c r="C179" s="4">
        <v>78</v>
      </c>
      <c r="D179" s="5">
        <f t="shared" si="5"/>
        <v>0.21910112359550563</v>
      </c>
      <c r="E179" s="4">
        <v>7</v>
      </c>
      <c r="F179" s="5">
        <f t="shared" si="4"/>
        <v>8.9743589743589744E-2</v>
      </c>
      <c r="G179" s="4" t="s">
        <v>9</v>
      </c>
    </row>
    <row r="180" spans="1:7" x14ac:dyDescent="0.25">
      <c r="A180" t="s">
        <v>187</v>
      </c>
      <c r="B180" s="4">
        <v>100</v>
      </c>
      <c r="C180" s="4">
        <v>14</v>
      </c>
      <c r="D180" s="5">
        <f t="shared" si="5"/>
        <v>0.14000000000000001</v>
      </c>
      <c r="E180" s="4">
        <v>0</v>
      </c>
      <c r="F180" s="5">
        <f t="shared" si="4"/>
        <v>0</v>
      </c>
      <c r="G180" s="4" t="s">
        <v>9</v>
      </c>
    </row>
    <row r="181" spans="1:7" x14ac:dyDescent="0.25">
      <c r="A181" t="s">
        <v>188</v>
      </c>
      <c r="B181" s="4">
        <v>2902</v>
      </c>
      <c r="C181" s="4">
        <v>653</v>
      </c>
      <c r="D181" s="5">
        <f t="shared" si="5"/>
        <v>0.2250172294968987</v>
      </c>
      <c r="E181" s="4">
        <v>113</v>
      </c>
      <c r="F181" s="5">
        <f t="shared" si="4"/>
        <v>0.17304747320061256</v>
      </c>
      <c r="G181" s="4" t="s">
        <v>9</v>
      </c>
    </row>
    <row r="182" spans="1:7" x14ac:dyDescent="0.25">
      <c r="A182" t="s">
        <v>189</v>
      </c>
      <c r="B182" s="4">
        <v>1154</v>
      </c>
      <c r="C182" s="4">
        <v>127</v>
      </c>
      <c r="D182" s="5">
        <f t="shared" si="5"/>
        <v>0.11005199306759099</v>
      </c>
      <c r="E182" s="4">
        <v>10</v>
      </c>
      <c r="F182" s="5">
        <f t="shared" si="4"/>
        <v>7.874015748031496E-2</v>
      </c>
      <c r="G182" s="4" t="s">
        <v>9</v>
      </c>
    </row>
    <row r="183" spans="1:7" x14ac:dyDescent="0.25">
      <c r="A183" t="s">
        <v>190</v>
      </c>
      <c r="B183" s="4">
        <v>492</v>
      </c>
      <c r="C183" s="4">
        <v>31</v>
      </c>
      <c r="D183" s="5">
        <f t="shared" si="5"/>
        <v>6.3008130081300809E-2</v>
      </c>
      <c r="E183" s="4">
        <v>0</v>
      </c>
      <c r="F183" s="5">
        <f t="shared" si="4"/>
        <v>0</v>
      </c>
      <c r="G183" s="4" t="s">
        <v>9</v>
      </c>
    </row>
    <row r="184" spans="1:7" x14ac:dyDescent="0.25">
      <c r="A184" t="s">
        <v>191</v>
      </c>
      <c r="B184" s="4">
        <v>6994</v>
      </c>
      <c r="C184" s="4">
        <v>1455</v>
      </c>
      <c r="D184" s="5">
        <f t="shared" si="5"/>
        <v>0.208035458964827</v>
      </c>
      <c r="E184" s="4">
        <v>659</v>
      </c>
      <c r="F184" s="5">
        <f t="shared" si="4"/>
        <v>0.45292096219931272</v>
      </c>
      <c r="G184" s="4" t="s">
        <v>9</v>
      </c>
    </row>
    <row r="185" spans="1:7" x14ac:dyDescent="0.25">
      <c r="A185" t="s">
        <v>192</v>
      </c>
      <c r="B185" s="4">
        <v>1427</v>
      </c>
      <c r="C185" s="4">
        <v>39</v>
      </c>
      <c r="D185" s="5">
        <f t="shared" si="5"/>
        <v>2.7330063069376315E-2</v>
      </c>
      <c r="E185" s="4">
        <v>0</v>
      </c>
      <c r="F185" s="5">
        <f t="shared" si="4"/>
        <v>0</v>
      </c>
      <c r="G185" s="4" t="s">
        <v>9</v>
      </c>
    </row>
    <row r="186" spans="1:7" x14ac:dyDescent="0.25">
      <c r="A186" t="s">
        <v>193</v>
      </c>
      <c r="B186" s="4">
        <v>876</v>
      </c>
      <c r="C186" s="4">
        <v>161</v>
      </c>
      <c r="D186" s="5">
        <f t="shared" si="5"/>
        <v>0.18378995433789955</v>
      </c>
      <c r="E186" s="4">
        <v>22</v>
      </c>
      <c r="F186" s="5">
        <f t="shared" si="4"/>
        <v>0.13664596273291926</v>
      </c>
      <c r="G186" s="4" t="s">
        <v>9</v>
      </c>
    </row>
    <row r="187" spans="1:7" x14ac:dyDescent="0.25">
      <c r="A187" t="s">
        <v>194</v>
      </c>
      <c r="B187" s="4">
        <v>963</v>
      </c>
      <c r="C187" s="4">
        <v>254</v>
      </c>
      <c r="D187" s="5">
        <f t="shared" si="5"/>
        <v>0.26375908618899274</v>
      </c>
      <c r="E187" s="4">
        <v>38</v>
      </c>
      <c r="F187" s="5">
        <f t="shared" si="4"/>
        <v>0.14960629921259844</v>
      </c>
      <c r="G187" s="4" t="s">
        <v>9</v>
      </c>
    </row>
    <row r="188" spans="1:7" x14ac:dyDescent="0.25">
      <c r="A188" t="s">
        <v>195</v>
      </c>
      <c r="B188" s="4">
        <v>16051</v>
      </c>
      <c r="C188" s="4">
        <v>3388</v>
      </c>
      <c r="D188" s="5">
        <f t="shared" si="5"/>
        <v>0.21107719145224596</v>
      </c>
      <c r="E188" s="4">
        <v>1148</v>
      </c>
      <c r="F188" s="5">
        <f t="shared" si="4"/>
        <v>0.33884297520661155</v>
      </c>
      <c r="G188" s="4" t="s">
        <v>9</v>
      </c>
    </row>
    <row r="189" spans="1:7" x14ac:dyDescent="0.25">
      <c r="A189" t="s">
        <v>196</v>
      </c>
      <c r="B189" s="4">
        <v>1643</v>
      </c>
      <c r="C189" s="4">
        <v>669</v>
      </c>
      <c r="D189" s="5">
        <f t="shared" si="5"/>
        <v>0.40718198417528911</v>
      </c>
      <c r="E189" s="4">
        <v>164</v>
      </c>
      <c r="F189" s="5">
        <f t="shared" si="4"/>
        <v>0.24514200298953662</v>
      </c>
      <c r="G189" s="4" t="s">
        <v>9</v>
      </c>
    </row>
    <row r="190" spans="1:7" x14ac:dyDescent="0.25">
      <c r="A190" t="s">
        <v>197</v>
      </c>
      <c r="B190" s="4">
        <v>7450</v>
      </c>
      <c r="C190" s="4">
        <v>1108</v>
      </c>
      <c r="D190" s="5">
        <f t="shared" si="5"/>
        <v>0.1487248322147651</v>
      </c>
      <c r="E190" s="4">
        <v>372</v>
      </c>
      <c r="F190" s="5">
        <f t="shared" si="4"/>
        <v>0.33574007220216606</v>
      </c>
      <c r="G190" s="4" t="s">
        <v>9</v>
      </c>
    </row>
    <row r="191" spans="1:7" x14ac:dyDescent="0.25">
      <c r="A191" t="s">
        <v>198</v>
      </c>
      <c r="B191" s="4">
        <v>734</v>
      </c>
      <c r="C191" s="4">
        <v>314</v>
      </c>
      <c r="D191" s="5">
        <f t="shared" si="5"/>
        <v>0.42779291553133514</v>
      </c>
      <c r="E191" s="4">
        <v>64</v>
      </c>
      <c r="F191" s="5">
        <f t="shared" si="4"/>
        <v>0.20382165605095542</v>
      </c>
      <c r="G191" s="4" t="s">
        <v>9</v>
      </c>
    </row>
    <row r="192" spans="1:7" x14ac:dyDescent="0.25">
      <c r="A192" t="s">
        <v>199</v>
      </c>
      <c r="B192" s="4">
        <v>176</v>
      </c>
      <c r="C192" s="4">
        <v>27</v>
      </c>
      <c r="D192" s="5">
        <f t="shared" si="5"/>
        <v>0.15340909090909091</v>
      </c>
      <c r="E192" s="4">
        <v>0</v>
      </c>
      <c r="F192" s="5">
        <f t="shared" si="4"/>
        <v>0</v>
      </c>
      <c r="G192" s="4" t="s">
        <v>9</v>
      </c>
    </row>
    <row r="193" spans="1:7" x14ac:dyDescent="0.25">
      <c r="A193" t="s">
        <v>200</v>
      </c>
      <c r="B193" s="4">
        <v>1375</v>
      </c>
      <c r="C193" s="4">
        <v>225</v>
      </c>
      <c r="D193" s="5">
        <f t="shared" si="5"/>
        <v>0.16363636363636364</v>
      </c>
      <c r="E193" s="4">
        <v>31</v>
      </c>
      <c r="F193" s="5">
        <f t="shared" si="4"/>
        <v>0.13777777777777778</v>
      </c>
      <c r="G193" s="4" t="s">
        <v>9</v>
      </c>
    </row>
    <row r="194" spans="1:7" x14ac:dyDescent="0.25">
      <c r="A194" t="s">
        <v>201</v>
      </c>
      <c r="B194" s="4">
        <v>581</v>
      </c>
      <c r="C194" s="4">
        <v>69</v>
      </c>
      <c r="D194" s="5">
        <f t="shared" si="5"/>
        <v>0.11876075731497418</v>
      </c>
      <c r="E194" s="4">
        <v>0</v>
      </c>
      <c r="F194" s="5">
        <f t="shared" si="4"/>
        <v>0</v>
      </c>
      <c r="G194" s="4" t="s">
        <v>9</v>
      </c>
    </row>
    <row r="195" spans="1:7" x14ac:dyDescent="0.25">
      <c r="A195" t="s">
        <v>202</v>
      </c>
      <c r="B195" s="4">
        <v>4604</v>
      </c>
      <c r="C195" s="4">
        <v>321</v>
      </c>
      <c r="D195" s="5">
        <f t="shared" si="5"/>
        <v>6.9721980886185919E-2</v>
      </c>
      <c r="E195" s="4">
        <v>18</v>
      </c>
      <c r="F195" s="5">
        <f t="shared" si="4"/>
        <v>5.6074766355140186E-2</v>
      </c>
      <c r="G195" s="4" t="s">
        <v>9</v>
      </c>
    </row>
    <row r="196" spans="1:7" x14ac:dyDescent="0.25">
      <c r="A196" t="s">
        <v>203</v>
      </c>
      <c r="B196" s="4">
        <v>986</v>
      </c>
      <c r="C196" s="4">
        <v>168</v>
      </c>
      <c r="D196" s="5">
        <f>C196/B196</f>
        <v>0.17038539553752535</v>
      </c>
      <c r="E196" s="4">
        <v>0</v>
      </c>
      <c r="F196" s="5">
        <f t="shared" si="4"/>
        <v>0</v>
      </c>
      <c r="G196" s="4" t="s">
        <v>9</v>
      </c>
    </row>
    <row r="197" spans="1:7" x14ac:dyDescent="0.25">
      <c r="A197" t="s">
        <v>204</v>
      </c>
      <c r="B197" s="4">
        <v>234</v>
      </c>
      <c r="C197" s="4">
        <v>28</v>
      </c>
      <c r="D197" s="5">
        <f t="shared" ref="D197:D249" si="6">C197/B197</f>
        <v>0.11965811965811966</v>
      </c>
      <c r="E197" s="4">
        <v>0</v>
      </c>
      <c r="F197" s="5">
        <f t="shared" ref="F197:F249" si="7">E197/C197</f>
        <v>0</v>
      </c>
      <c r="G197" s="4" t="s">
        <v>9</v>
      </c>
    </row>
    <row r="198" spans="1:7" x14ac:dyDescent="0.25">
      <c r="A198" t="s">
        <v>205</v>
      </c>
      <c r="B198" s="4">
        <v>472</v>
      </c>
      <c r="C198" s="4">
        <v>85</v>
      </c>
      <c r="D198" s="5">
        <f t="shared" si="6"/>
        <v>0.18008474576271186</v>
      </c>
      <c r="E198" s="4">
        <v>3</v>
      </c>
      <c r="F198" s="5">
        <f t="shared" si="7"/>
        <v>3.5294117647058823E-2</v>
      </c>
      <c r="G198" s="4" t="s">
        <v>9</v>
      </c>
    </row>
    <row r="199" spans="1:7" x14ac:dyDescent="0.25">
      <c r="A199" t="s">
        <v>206</v>
      </c>
      <c r="B199" s="4">
        <v>871</v>
      </c>
      <c r="C199" s="4">
        <v>166</v>
      </c>
      <c r="D199" s="5">
        <f t="shared" si="6"/>
        <v>0.19058553386911595</v>
      </c>
      <c r="E199" s="4">
        <v>18</v>
      </c>
      <c r="F199" s="5">
        <f t="shared" si="7"/>
        <v>0.10843373493975904</v>
      </c>
      <c r="G199" s="4" t="s">
        <v>9</v>
      </c>
    </row>
    <row r="200" spans="1:7" x14ac:dyDescent="0.25">
      <c r="A200" t="s">
        <v>207</v>
      </c>
      <c r="B200" s="4">
        <v>734</v>
      </c>
      <c r="C200" s="4">
        <v>65</v>
      </c>
      <c r="D200" s="5">
        <f t="shared" si="6"/>
        <v>8.8555858310626706E-2</v>
      </c>
      <c r="E200" s="4">
        <v>0</v>
      </c>
      <c r="F200" s="5">
        <f t="shared" si="7"/>
        <v>0</v>
      </c>
      <c r="G200" s="4" t="s">
        <v>9</v>
      </c>
    </row>
    <row r="201" spans="1:7" x14ac:dyDescent="0.25">
      <c r="A201" t="s">
        <v>208</v>
      </c>
      <c r="B201" s="4">
        <v>4735</v>
      </c>
      <c r="C201" s="4">
        <v>736</v>
      </c>
      <c r="D201" s="5">
        <f t="shared" si="6"/>
        <v>0.15543822597676873</v>
      </c>
      <c r="E201" s="4">
        <v>187</v>
      </c>
      <c r="F201" s="5">
        <f t="shared" si="7"/>
        <v>0.25407608695652173</v>
      </c>
      <c r="G201" s="4" t="s">
        <v>9</v>
      </c>
    </row>
    <row r="202" spans="1:7" x14ac:dyDescent="0.25">
      <c r="A202" t="s">
        <v>209</v>
      </c>
      <c r="B202" s="4">
        <v>2417</v>
      </c>
      <c r="C202" s="4">
        <v>331</v>
      </c>
      <c r="D202" s="5">
        <f t="shared" si="6"/>
        <v>0.13694662805130328</v>
      </c>
      <c r="E202" s="4">
        <v>44</v>
      </c>
      <c r="F202" s="5">
        <f t="shared" si="7"/>
        <v>0.13293051359516617</v>
      </c>
      <c r="G202" s="4" t="s">
        <v>9</v>
      </c>
    </row>
    <row r="203" spans="1:7" x14ac:dyDescent="0.25">
      <c r="A203" t="s">
        <v>210</v>
      </c>
      <c r="B203" s="4">
        <v>409</v>
      </c>
      <c r="C203" s="4">
        <v>131</v>
      </c>
      <c r="D203" s="5">
        <f t="shared" si="6"/>
        <v>0.32029339853300731</v>
      </c>
      <c r="E203" s="4">
        <v>33</v>
      </c>
      <c r="F203" s="5">
        <f t="shared" si="7"/>
        <v>0.25190839694656486</v>
      </c>
      <c r="G203" s="4" t="s">
        <v>9</v>
      </c>
    </row>
    <row r="204" spans="1:7" x14ac:dyDescent="0.25">
      <c r="A204" t="s">
        <v>211</v>
      </c>
      <c r="B204" s="4">
        <v>899</v>
      </c>
      <c r="C204" s="4">
        <v>86</v>
      </c>
      <c r="D204" s="5">
        <f t="shared" si="6"/>
        <v>9.5661846496106789E-2</v>
      </c>
      <c r="E204" s="4">
        <v>0</v>
      </c>
      <c r="F204" s="5">
        <f t="shared" si="7"/>
        <v>0</v>
      </c>
      <c r="G204" s="4" t="s">
        <v>9</v>
      </c>
    </row>
    <row r="205" spans="1:7" x14ac:dyDescent="0.25">
      <c r="A205" t="s">
        <v>212</v>
      </c>
      <c r="B205" s="4">
        <v>1090</v>
      </c>
      <c r="C205" s="4">
        <v>96</v>
      </c>
      <c r="D205" s="5">
        <f t="shared" si="6"/>
        <v>8.8073394495412849E-2</v>
      </c>
      <c r="E205" s="4">
        <v>0</v>
      </c>
      <c r="F205" s="5">
        <f t="shared" si="7"/>
        <v>0</v>
      </c>
      <c r="G205" s="4" t="s">
        <v>9</v>
      </c>
    </row>
    <row r="206" spans="1:7" x14ac:dyDescent="0.25">
      <c r="A206" t="s">
        <v>213</v>
      </c>
      <c r="B206" s="4">
        <v>1165</v>
      </c>
      <c r="C206" s="4">
        <v>55</v>
      </c>
      <c r="D206" s="5">
        <f t="shared" si="6"/>
        <v>4.7210300429184553E-2</v>
      </c>
      <c r="E206" s="4">
        <v>0</v>
      </c>
      <c r="F206" s="5">
        <f t="shared" si="7"/>
        <v>0</v>
      </c>
      <c r="G206" s="4" t="s">
        <v>9</v>
      </c>
    </row>
    <row r="207" spans="1:7" x14ac:dyDescent="0.25">
      <c r="A207" t="s">
        <v>214</v>
      </c>
      <c r="B207" s="4">
        <v>1133</v>
      </c>
      <c r="C207" s="4">
        <v>141</v>
      </c>
      <c r="D207" s="5">
        <f t="shared" si="6"/>
        <v>0.12444836716681378</v>
      </c>
      <c r="E207" s="4">
        <v>0</v>
      </c>
      <c r="F207" s="5">
        <f t="shared" si="7"/>
        <v>0</v>
      </c>
      <c r="G207" s="4" t="s">
        <v>9</v>
      </c>
    </row>
    <row r="208" spans="1:7" x14ac:dyDescent="0.25">
      <c r="A208" t="s">
        <v>215</v>
      </c>
      <c r="B208" s="4">
        <v>2640</v>
      </c>
      <c r="C208" s="4">
        <v>438</v>
      </c>
      <c r="D208" s="5">
        <f t="shared" si="6"/>
        <v>0.16590909090909092</v>
      </c>
      <c r="E208" s="4">
        <v>118</v>
      </c>
      <c r="F208" s="5">
        <f t="shared" si="7"/>
        <v>0.26940639269406391</v>
      </c>
      <c r="G208" s="4" t="s">
        <v>9</v>
      </c>
    </row>
    <row r="209" spans="1:7" x14ac:dyDescent="0.25">
      <c r="A209" t="s">
        <v>216</v>
      </c>
      <c r="B209" s="4">
        <v>2164</v>
      </c>
      <c r="C209" s="4">
        <v>452</v>
      </c>
      <c r="D209" s="5">
        <f t="shared" si="6"/>
        <v>0.20887245841035121</v>
      </c>
      <c r="E209" s="4">
        <v>43</v>
      </c>
      <c r="F209" s="5">
        <f t="shared" si="7"/>
        <v>9.5132743362831854E-2</v>
      </c>
      <c r="G209" s="4" t="s">
        <v>9</v>
      </c>
    </row>
    <row r="210" spans="1:7" x14ac:dyDescent="0.25">
      <c r="A210" t="s">
        <v>217</v>
      </c>
      <c r="B210" s="4">
        <v>1929</v>
      </c>
      <c r="C210" s="4">
        <v>391</v>
      </c>
      <c r="D210" s="5">
        <f t="shared" si="6"/>
        <v>0.20269569725246242</v>
      </c>
      <c r="E210" s="4">
        <v>52</v>
      </c>
      <c r="F210" s="5">
        <f t="shared" si="7"/>
        <v>0.13299232736572891</v>
      </c>
      <c r="G210" s="4" t="s">
        <v>9</v>
      </c>
    </row>
    <row r="211" spans="1:7" x14ac:dyDescent="0.25">
      <c r="A211" s="6" t="s">
        <v>218</v>
      </c>
      <c r="B211" s="7"/>
      <c r="C211" s="7"/>
      <c r="D211" s="8" t="e">
        <f t="shared" si="6"/>
        <v>#DIV/0!</v>
      </c>
      <c r="E211" s="7"/>
      <c r="F211" s="8" t="e">
        <f t="shared" si="7"/>
        <v>#DIV/0!</v>
      </c>
      <c r="G211" s="7"/>
    </row>
    <row r="212" spans="1:7" x14ac:dyDescent="0.25">
      <c r="A212" t="s">
        <v>219</v>
      </c>
      <c r="B212" s="4">
        <v>65</v>
      </c>
      <c r="C212" s="4">
        <v>44</v>
      </c>
      <c r="D212" s="5">
        <f t="shared" si="6"/>
        <v>0.67692307692307696</v>
      </c>
      <c r="E212" s="4">
        <v>26</v>
      </c>
      <c r="F212" s="5">
        <f t="shared" si="7"/>
        <v>0.59090909090909094</v>
      </c>
      <c r="G212" s="4" t="s">
        <v>9</v>
      </c>
    </row>
    <row r="213" spans="1:7" x14ac:dyDescent="0.25">
      <c r="A213" t="s">
        <v>220</v>
      </c>
      <c r="B213" s="4">
        <v>1475</v>
      </c>
      <c r="C213" s="4">
        <v>277</v>
      </c>
      <c r="D213" s="5">
        <f t="shared" si="6"/>
        <v>0.18779661016949153</v>
      </c>
      <c r="E213" s="4">
        <v>34</v>
      </c>
      <c r="F213" s="5">
        <f t="shared" si="7"/>
        <v>0.12274368231046931</v>
      </c>
      <c r="G213" s="4" t="s">
        <v>9</v>
      </c>
    </row>
    <row r="214" spans="1:7" x14ac:dyDescent="0.25">
      <c r="A214" t="s">
        <v>221</v>
      </c>
      <c r="B214" s="4">
        <v>731</v>
      </c>
      <c r="C214" s="4">
        <v>185</v>
      </c>
      <c r="D214" s="5">
        <f t="shared" si="6"/>
        <v>0.25307797537619697</v>
      </c>
      <c r="E214" s="4">
        <v>56</v>
      </c>
      <c r="F214" s="5">
        <f t="shared" si="7"/>
        <v>0.30270270270270272</v>
      </c>
      <c r="G214" s="4" t="s">
        <v>9</v>
      </c>
    </row>
    <row r="215" spans="1:7" x14ac:dyDescent="0.25">
      <c r="A215" t="s">
        <v>222</v>
      </c>
      <c r="B215" s="4">
        <v>1573</v>
      </c>
      <c r="C215" s="4">
        <v>338</v>
      </c>
      <c r="D215" s="5">
        <f t="shared" si="6"/>
        <v>0.21487603305785125</v>
      </c>
      <c r="E215" s="4">
        <v>76</v>
      </c>
      <c r="F215" s="5">
        <f t="shared" si="7"/>
        <v>0.22485207100591717</v>
      </c>
      <c r="G215" s="4" t="s">
        <v>9</v>
      </c>
    </row>
    <row r="216" spans="1:7" x14ac:dyDescent="0.25">
      <c r="A216" t="s">
        <v>223</v>
      </c>
      <c r="B216" s="4">
        <v>412</v>
      </c>
      <c r="C216" s="4">
        <v>40</v>
      </c>
      <c r="D216" s="5">
        <f t="shared" si="6"/>
        <v>9.7087378640776698E-2</v>
      </c>
      <c r="E216" s="4">
        <v>0</v>
      </c>
      <c r="F216" s="5">
        <f t="shared" si="7"/>
        <v>0</v>
      </c>
      <c r="G216" s="4" t="s">
        <v>9</v>
      </c>
    </row>
    <row r="217" spans="1:7" x14ac:dyDescent="0.25">
      <c r="A217" t="s">
        <v>224</v>
      </c>
      <c r="B217" s="4">
        <v>650</v>
      </c>
      <c r="C217" s="4">
        <v>55</v>
      </c>
      <c r="D217" s="5">
        <f t="shared" si="6"/>
        <v>8.461538461538462E-2</v>
      </c>
      <c r="E217" s="4">
        <v>0</v>
      </c>
      <c r="F217" s="5">
        <f t="shared" si="7"/>
        <v>0</v>
      </c>
      <c r="G217" s="4" t="s">
        <v>9</v>
      </c>
    </row>
    <row r="218" spans="1:7" x14ac:dyDescent="0.25">
      <c r="A218" t="s">
        <v>225</v>
      </c>
      <c r="B218" s="4">
        <v>1574</v>
      </c>
      <c r="C218" s="4">
        <v>197</v>
      </c>
      <c r="D218" s="5">
        <f t="shared" si="6"/>
        <v>0.12515883100381195</v>
      </c>
      <c r="E218" s="4">
        <v>27</v>
      </c>
      <c r="F218" s="5">
        <f t="shared" si="7"/>
        <v>0.13705583756345177</v>
      </c>
      <c r="G218" s="4" t="s">
        <v>9</v>
      </c>
    </row>
    <row r="219" spans="1:7" x14ac:dyDescent="0.25">
      <c r="A219" t="s">
        <v>226</v>
      </c>
      <c r="B219" s="4">
        <v>841</v>
      </c>
      <c r="C219" s="4">
        <v>210</v>
      </c>
      <c r="D219" s="5">
        <f t="shared" si="6"/>
        <v>0.2497027348394768</v>
      </c>
      <c r="E219" s="4">
        <v>32</v>
      </c>
      <c r="F219" s="5">
        <f t="shared" si="7"/>
        <v>0.15238095238095239</v>
      </c>
      <c r="G219" s="4" t="s">
        <v>9</v>
      </c>
    </row>
    <row r="220" spans="1:7" x14ac:dyDescent="0.25">
      <c r="A220" t="s">
        <v>227</v>
      </c>
      <c r="B220" s="4">
        <v>4525</v>
      </c>
      <c r="C220" s="4">
        <v>676</v>
      </c>
      <c r="D220" s="5">
        <f t="shared" si="6"/>
        <v>0.14939226519337018</v>
      </c>
      <c r="E220" s="4">
        <v>144</v>
      </c>
      <c r="F220" s="5">
        <f t="shared" si="7"/>
        <v>0.21301775147928995</v>
      </c>
      <c r="G220" s="4" t="s">
        <v>9</v>
      </c>
    </row>
    <row r="221" spans="1:7" x14ac:dyDescent="0.25">
      <c r="A221" t="s">
        <v>228</v>
      </c>
      <c r="B221" s="4">
        <v>1108</v>
      </c>
      <c r="C221" s="4">
        <v>126</v>
      </c>
      <c r="D221" s="5">
        <f t="shared" si="6"/>
        <v>0.11371841155234658</v>
      </c>
      <c r="E221" s="4">
        <v>0</v>
      </c>
      <c r="F221" s="5">
        <f t="shared" si="7"/>
        <v>0</v>
      </c>
      <c r="G221" s="4" t="s">
        <v>9</v>
      </c>
    </row>
    <row r="222" spans="1:7" x14ac:dyDescent="0.25">
      <c r="A222" t="s">
        <v>229</v>
      </c>
      <c r="B222" s="4">
        <v>598</v>
      </c>
      <c r="C222" s="4">
        <v>91</v>
      </c>
      <c r="D222" s="5">
        <f t="shared" si="6"/>
        <v>0.15217391304347827</v>
      </c>
      <c r="E222" s="4">
        <v>0</v>
      </c>
      <c r="F222" s="5">
        <f t="shared" si="7"/>
        <v>0</v>
      </c>
      <c r="G222" s="4" t="s">
        <v>9</v>
      </c>
    </row>
    <row r="223" spans="1:7" x14ac:dyDescent="0.25">
      <c r="A223" t="s">
        <v>230</v>
      </c>
      <c r="B223" s="4">
        <v>2520</v>
      </c>
      <c r="C223" s="4">
        <v>380</v>
      </c>
      <c r="D223" s="5">
        <f t="shared" si="6"/>
        <v>0.15079365079365079</v>
      </c>
      <c r="E223" s="4">
        <v>54</v>
      </c>
      <c r="F223" s="5">
        <f t="shared" si="7"/>
        <v>0.14210526315789473</v>
      </c>
      <c r="G223" s="4" t="s">
        <v>9</v>
      </c>
    </row>
    <row r="224" spans="1:7" x14ac:dyDescent="0.25">
      <c r="A224" t="s">
        <v>231</v>
      </c>
      <c r="B224" s="4">
        <v>938</v>
      </c>
      <c r="C224" s="4">
        <v>219</v>
      </c>
      <c r="D224" s="5">
        <f t="shared" si="6"/>
        <v>0.23347547974413646</v>
      </c>
      <c r="E224" s="4">
        <v>49</v>
      </c>
      <c r="F224" s="5">
        <f t="shared" si="7"/>
        <v>0.22374429223744291</v>
      </c>
      <c r="G224" s="4" t="s">
        <v>9</v>
      </c>
    </row>
    <row r="225" spans="1:7" x14ac:dyDescent="0.25">
      <c r="A225" t="s">
        <v>232</v>
      </c>
      <c r="B225" s="4">
        <v>499</v>
      </c>
      <c r="C225" s="4">
        <v>60</v>
      </c>
      <c r="D225" s="5">
        <f t="shared" si="6"/>
        <v>0.12024048096192384</v>
      </c>
      <c r="E225" s="4">
        <v>8</v>
      </c>
      <c r="F225" s="5">
        <f t="shared" si="7"/>
        <v>0.13333333333333333</v>
      </c>
      <c r="G225" s="4" t="s">
        <v>9</v>
      </c>
    </row>
    <row r="226" spans="1:7" x14ac:dyDescent="0.25">
      <c r="A226" t="s">
        <v>233</v>
      </c>
      <c r="B226" s="4">
        <v>192</v>
      </c>
      <c r="C226" s="4">
        <v>78</v>
      </c>
      <c r="D226" s="5">
        <f t="shared" si="6"/>
        <v>0.40625</v>
      </c>
      <c r="E226" s="4">
        <v>8</v>
      </c>
      <c r="F226" s="5">
        <f t="shared" si="7"/>
        <v>0.10256410256410256</v>
      </c>
      <c r="G226" s="4" t="s">
        <v>9</v>
      </c>
    </row>
    <row r="227" spans="1:7" x14ac:dyDescent="0.25">
      <c r="A227" t="s">
        <v>234</v>
      </c>
      <c r="B227" s="4">
        <v>1661</v>
      </c>
      <c r="C227" s="4">
        <v>258</v>
      </c>
      <c r="D227" s="5">
        <f t="shared" si="6"/>
        <v>0.15532811559301626</v>
      </c>
      <c r="E227" s="4">
        <v>28</v>
      </c>
      <c r="F227" s="5">
        <f t="shared" si="7"/>
        <v>0.10852713178294573</v>
      </c>
      <c r="G227" s="4" t="s">
        <v>9</v>
      </c>
    </row>
    <row r="228" spans="1:7" x14ac:dyDescent="0.25">
      <c r="A228" t="s">
        <v>235</v>
      </c>
      <c r="B228" s="4">
        <v>1013</v>
      </c>
      <c r="C228" s="4">
        <v>97</v>
      </c>
      <c r="D228" s="5">
        <f t="shared" si="6"/>
        <v>9.5755182625863772E-2</v>
      </c>
      <c r="E228" s="4">
        <v>0</v>
      </c>
      <c r="F228" s="5">
        <f t="shared" si="7"/>
        <v>0</v>
      </c>
      <c r="G228" s="4" t="s">
        <v>9</v>
      </c>
    </row>
    <row r="229" spans="1:7" x14ac:dyDescent="0.25">
      <c r="A229" t="s">
        <v>236</v>
      </c>
      <c r="B229" s="4">
        <v>482</v>
      </c>
      <c r="C229" s="4">
        <v>51</v>
      </c>
      <c r="D229" s="5">
        <f t="shared" si="6"/>
        <v>0.10580912863070539</v>
      </c>
      <c r="E229" s="4">
        <v>1</v>
      </c>
      <c r="F229" s="5">
        <f t="shared" si="7"/>
        <v>1.9607843137254902E-2</v>
      </c>
      <c r="G229" s="4" t="s">
        <v>9</v>
      </c>
    </row>
    <row r="230" spans="1:7" x14ac:dyDescent="0.25">
      <c r="A230" t="s">
        <v>237</v>
      </c>
      <c r="B230" s="4">
        <v>1765</v>
      </c>
      <c r="C230" s="4">
        <v>541</v>
      </c>
      <c r="D230" s="5">
        <f t="shared" si="6"/>
        <v>0.30651558073654389</v>
      </c>
      <c r="E230" s="4">
        <v>462</v>
      </c>
      <c r="F230" s="5">
        <f t="shared" si="7"/>
        <v>0.85397412199630318</v>
      </c>
      <c r="G230" s="4" t="s">
        <v>33</v>
      </c>
    </row>
    <row r="231" spans="1:7" x14ac:dyDescent="0.25">
      <c r="A231" t="s">
        <v>238</v>
      </c>
      <c r="B231" s="4">
        <v>2583</v>
      </c>
      <c r="C231" s="4">
        <v>259</v>
      </c>
      <c r="D231" s="5">
        <f t="shared" si="6"/>
        <v>0.1002710027100271</v>
      </c>
      <c r="E231" s="4">
        <v>18</v>
      </c>
      <c r="F231" s="5">
        <f t="shared" si="7"/>
        <v>6.9498069498069498E-2</v>
      </c>
      <c r="G231" s="4" t="s">
        <v>9</v>
      </c>
    </row>
    <row r="232" spans="1:7" x14ac:dyDescent="0.25">
      <c r="A232" t="s">
        <v>239</v>
      </c>
      <c r="B232" s="4">
        <v>285</v>
      </c>
      <c r="C232" s="4">
        <v>62</v>
      </c>
      <c r="D232" s="5">
        <f t="shared" si="6"/>
        <v>0.21754385964912282</v>
      </c>
      <c r="E232" s="4">
        <v>0</v>
      </c>
      <c r="F232" s="5">
        <f t="shared" si="7"/>
        <v>0</v>
      </c>
      <c r="G232" s="4" t="s">
        <v>9</v>
      </c>
    </row>
    <row r="233" spans="1:7" x14ac:dyDescent="0.25">
      <c r="A233" t="s">
        <v>240</v>
      </c>
      <c r="B233" s="4">
        <v>533</v>
      </c>
      <c r="C233" s="4">
        <v>96</v>
      </c>
      <c r="D233" s="5">
        <f t="shared" si="6"/>
        <v>0.1801125703564728</v>
      </c>
      <c r="E233" s="4">
        <v>0</v>
      </c>
      <c r="F233" s="5">
        <f t="shared" si="7"/>
        <v>0</v>
      </c>
      <c r="G233" s="4" t="s">
        <v>9</v>
      </c>
    </row>
    <row r="234" spans="1:7" x14ac:dyDescent="0.25">
      <c r="A234" t="s">
        <v>241</v>
      </c>
      <c r="B234" s="4">
        <v>735</v>
      </c>
      <c r="C234" s="4">
        <v>215</v>
      </c>
      <c r="D234" s="5">
        <f t="shared" si="6"/>
        <v>0.29251700680272108</v>
      </c>
      <c r="E234" s="4">
        <v>25</v>
      </c>
      <c r="F234" s="5">
        <f t="shared" si="7"/>
        <v>0.11627906976744186</v>
      </c>
      <c r="G234" s="4" t="s">
        <v>9</v>
      </c>
    </row>
    <row r="235" spans="1:7" x14ac:dyDescent="0.25">
      <c r="A235" t="s">
        <v>242</v>
      </c>
      <c r="B235" s="4">
        <v>637</v>
      </c>
      <c r="C235" s="4">
        <v>108</v>
      </c>
      <c r="D235" s="5">
        <f t="shared" si="6"/>
        <v>0.1695447409733124</v>
      </c>
      <c r="E235" s="4">
        <v>2</v>
      </c>
      <c r="F235" s="5">
        <f t="shared" si="7"/>
        <v>1.8518518518518517E-2</v>
      </c>
      <c r="G235" s="4" t="s">
        <v>9</v>
      </c>
    </row>
    <row r="236" spans="1:7" x14ac:dyDescent="0.25">
      <c r="A236" t="s">
        <v>243</v>
      </c>
      <c r="B236" s="4">
        <v>286</v>
      </c>
      <c r="C236" s="4">
        <v>45</v>
      </c>
      <c r="D236" s="5">
        <f t="shared" si="6"/>
        <v>0.15734265734265734</v>
      </c>
      <c r="E236" s="4">
        <v>0</v>
      </c>
      <c r="F236" s="5">
        <f t="shared" si="7"/>
        <v>0</v>
      </c>
      <c r="G236" s="4" t="s">
        <v>9</v>
      </c>
    </row>
    <row r="237" spans="1:7" x14ac:dyDescent="0.25">
      <c r="A237" t="s">
        <v>244</v>
      </c>
      <c r="B237" s="4">
        <v>997</v>
      </c>
      <c r="C237" s="4">
        <v>115</v>
      </c>
      <c r="D237" s="5">
        <f t="shared" si="6"/>
        <v>0.11534603811434303</v>
      </c>
      <c r="E237" s="4">
        <v>5</v>
      </c>
      <c r="F237" s="5">
        <f t="shared" si="7"/>
        <v>4.3478260869565216E-2</v>
      </c>
      <c r="G237" s="4" t="s">
        <v>9</v>
      </c>
    </row>
    <row r="238" spans="1:7" x14ac:dyDescent="0.25">
      <c r="A238" t="s">
        <v>245</v>
      </c>
      <c r="B238" s="4">
        <v>2463</v>
      </c>
      <c r="C238" s="4">
        <v>371</v>
      </c>
      <c r="D238" s="5">
        <f t="shared" si="6"/>
        <v>0.15062931384490458</v>
      </c>
      <c r="E238" s="4">
        <v>65</v>
      </c>
      <c r="F238" s="5">
        <f t="shared" si="7"/>
        <v>0.17520215633423181</v>
      </c>
      <c r="G238" s="4" t="s">
        <v>9</v>
      </c>
    </row>
    <row r="239" spans="1:7" x14ac:dyDescent="0.25">
      <c r="A239" t="s">
        <v>246</v>
      </c>
      <c r="B239" s="4">
        <v>8347</v>
      </c>
      <c r="C239" s="4">
        <v>1588</v>
      </c>
      <c r="D239" s="5">
        <f t="shared" si="6"/>
        <v>0.19024799329100275</v>
      </c>
      <c r="E239" s="4">
        <v>460</v>
      </c>
      <c r="F239" s="5">
        <f t="shared" si="7"/>
        <v>0.28967254408060455</v>
      </c>
      <c r="G239" s="4" t="s">
        <v>9</v>
      </c>
    </row>
    <row r="240" spans="1:7" x14ac:dyDescent="0.25">
      <c r="A240" t="s">
        <v>247</v>
      </c>
      <c r="B240" s="4">
        <v>1678</v>
      </c>
      <c r="C240" s="4">
        <v>186</v>
      </c>
      <c r="D240" s="5">
        <f t="shared" si="6"/>
        <v>0.11084624553039332</v>
      </c>
      <c r="E240" s="4">
        <v>12</v>
      </c>
      <c r="F240" s="5">
        <f t="shared" si="7"/>
        <v>6.4516129032258063E-2</v>
      </c>
      <c r="G240" s="4" t="s">
        <v>9</v>
      </c>
    </row>
    <row r="241" spans="1:7" x14ac:dyDescent="0.25">
      <c r="A241" s="6" t="s">
        <v>248</v>
      </c>
      <c r="B241" s="7"/>
      <c r="C241" s="7"/>
      <c r="D241" s="8" t="e">
        <f t="shared" si="6"/>
        <v>#DIV/0!</v>
      </c>
      <c r="E241" s="7"/>
      <c r="F241" s="8" t="e">
        <f t="shared" si="7"/>
        <v>#DIV/0!</v>
      </c>
      <c r="G241" s="7"/>
    </row>
    <row r="242" spans="1:7" x14ac:dyDescent="0.25">
      <c r="A242" t="s">
        <v>249</v>
      </c>
      <c r="B242" s="4">
        <v>2917</v>
      </c>
      <c r="C242" s="4">
        <v>443</v>
      </c>
      <c r="D242" s="5">
        <f t="shared" si="6"/>
        <v>0.15186835790195405</v>
      </c>
      <c r="E242" s="4">
        <v>20</v>
      </c>
      <c r="F242" s="5">
        <f t="shared" si="7"/>
        <v>4.5146726862302484E-2</v>
      </c>
      <c r="G242" s="4" t="s">
        <v>9</v>
      </c>
    </row>
    <row r="243" spans="1:7" x14ac:dyDescent="0.25">
      <c r="A243" t="s">
        <v>250</v>
      </c>
      <c r="B243" s="4">
        <v>829</v>
      </c>
      <c r="C243" s="4">
        <v>160</v>
      </c>
      <c r="D243" s="5">
        <f t="shared" si="6"/>
        <v>0.19300361881785283</v>
      </c>
      <c r="E243" s="4">
        <v>3</v>
      </c>
      <c r="F243" s="5">
        <f t="shared" si="7"/>
        <v>1.8749999999999999E-2</v>
      </c>
      <c r="G243" s="4" t="s">
        <v>9</v>
      </c>
    </row>
    <row r="244" spans="1:7" x14ac:dyDescent="0.25">
      <c r="A244" t="s">
        <v>251</v>
      </c>
      <c r="B244" s="4">
        <v>5506</v>
      </c>
      <c r="C244" s="4">
        <v>827</v>
      </c>
      <c r="D244" s="5">
        <f t="shared" si="6"/>
        <v>0.15019978205593898</v>
      </c>
      <c r="E244" s="4">
        <v>108</v>
      </c>
      <c r="F244" s="5">
        <f t="shared" si="7"/>
        <v>0.13059250302297462</v>
      </c>
      <c r="G244" s="4" t="s">
        <v>9</v>
      </c>
    </row>
    <row r="245" spans="1:7" x14ac:dyDescent="0.25">
      <c r="A245" t="s">
        <v>252</v>
      </c>
      <c r="B245" s="4">
        <v>1248</v>
      </c>
      <c r="C245" s="4">
        <v>154</v>
      </c>
      <c r="D245" s="5">
        <f t="shared" si="6"/>
        <v>0.1233974358974359</v>
      </c>
      <c r="E245" s="4">
        <v>20</v>
      </c>
      <c r="F245" s="5">
        <f t="shared" si="7"/>
        <v>0.12987012987012986</v>
      </c>
      <c r="G245" s="4" t="s">
        <v>9</v>
      </c>
    </row>
    <row r="246" spans="1:7" x14ac:dyDescent="0.25">
      <c r="A246" t="s">
        <v>253</v>
      </c>
      <c r="B246" s="4">
        <v>753</v>
      </c>
      <c r="C246" s="4">
        <v>92</v>
      </c>
      <c r="D246" s="5">
        <f t="shared" si="6"/>
        <v>0.12217795484727756</v>
      </c>
      <c r="E246" s="4">
        <v>0</v>
      </c>
      <c r="F246" s="5">
        <f t="shared" si="7"/>
        <v>0</v>
      </c>
      <c r="G246" s="4" t="s">
        <v>9</v>
      </c>
    </row>
    <row r="247" spans="1:7" x14ac:dyDescent="0.25">
      <c r="A247" t="s">
        <v>254</v>
      </c>
      <c r="B247" s="4">
        <v>270</v>
      </c>
      <c r="C247" s="4">
        <v>37</v>
      </c>
      <c r="D247" s="5">
        <f t="shared" si="6"/>
        <v>0.13703703703703704</v>
      </c>
      <c r="E247" s="4">
        <v>4</v>
      </c>
      <c r="F247" s="5">
        <f t="shared" si="7"/>
        <v>0.10810810810810811</v>
      </c>
      <c r="G247" s="4" t="s">
        <v>9</v>
      </c>
    </row>
    <row r="248" spans="1:7" x14ac:dyDescent="0.25">
      <c r="A248" t="s">
        <v>255</v>
      </c>
      <c r="B248" s="4">
        <v>3066</v>
      </c>
      <c r="C248" s="4">
        <v>480</v>
      </c>
      <c r="D248" s="5">
        <f t="shared" si="6"/>
        <v>0.15655577299412915</v>
      </c>
      <c r="E248" s="4">
        <v>27</v>
      </c>
      <c r="F248" s="5">
        <f t="shared" si="7"/>
        <v>5.6250000000000001E-2</v>
      </c>
      <c r="G248" s="4" t="s">
        <v>9</v>
      </c>
    </row>
    <row r="249" spans="1:7" x14ac:dyDescent="0.25">
      <c r="A249" t="s">
        <v>256</v>
      </c>
      <c r="B249" s="4">
        <v>152</v>
      </c>
      <c r="C249" s="4">
        <v>100</v>
      </c>
      <c r="D249" s="5">
        <f t="shared" si="6"/>
        <v>0.65789473684210531</v>
      </c>
      <c r="E249" s="4">
        <v>0</v>
      </c>
      <c r="F249" s="5">
        <f t="shared" si="7"/>
        <v>0</v>
      </c>
      <c r="G249" s="4" t="s">
        <v>9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95AF8DB4A494486A2308AE1E40BD6" ma:contentTypeVersion="2" ma:contentTypeDescription="Create a new document." ma:contentTypeScope="" ma:versionID="96f38268afb03f34a464ca8bb5434658">
  <xsd:schema xmlns:xsd="http://www.w3.org/2001/XMLSchema" xmlns:xs="http://www.w3.org/2001/XMLSchema" xmlns:p="http://schemas.microsoft.com/office/2006/metadata/properties" xmlns:ns2="3b005fd8-62d5-4927-a0f9-fdac9185221f" targetNamespace="http://schemas.microsoft.com/office/2006/metadata/properties" ma:root="true" ma:fieldsID="b48854907cd009d8f78c816ac58b3831" ns2:_="">
    <xsd:import namespace="3b005fd8-62d5-4927-a0f9-fdac918522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05fd8-62d5-4927-a0f9-fdac9185221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b005fd8-62d5-4927-a0f9-fdac9185221f">DE6UZ2SY5E43-1273115200-274</_dlc_DocId>
    <_dlc_DocIdUrl xmlns="3b005fd8-62d5-4927-a0f9-fdac9185221f">
      <Url>https://outside.vermont.gov/dept/sos/_layouts/15/DocIdRedir.aspx?ID=DE6UZ2SY5E43-1273115200-274</Url>
      <Description>DE6UZ2SY5E43-1273115200-274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1670630-1B6F-4573-A037-4733C8B19FE5}"/>
</file>

<file path=customXml/itemProps2.xml><?xml version="1.0" encoding="utf-8"?>
<ds:datastoreItem xmlns:ds="http://schemas.openxmlformats.org/officeDocument/2006/customXml" ds:itemID="{2FB9CDD7-A2BB-4C0C-86C5-67A0AD328E7B}"/>
</file>

<file path=customXml/itemProps3.xml><?xml version="1.0" encoding="utf-8"?>
<ds:datastoreItem xmlns:ds="http://schemas.openxmlformats.org/officeDocument/2006/customXml" ds:itemID="{84E5A052-6C88-443C-8E81-1659AD8BF440}"/>
</file>

<file path=customXml/itemProps4.xml><?xml version="1.0" encoding="utf-8"?>
<ds:datastoreItem xmlns:ds="http://schemas.openxmlformats.org/officeDocument/2006/customXml" ds:itemID="{EC3FFBBA-A40A-4CA9-BF0A-9B856E678C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Dan</dc:creator>
  <cp:lastModifiedBy>Brown, Dan</cp:lastModifiedBy>
  <dcterms:created xsi:type="dcterms:W3CDTF">2023-05-23T18:32:50Z</dcterms:created>
  <dcterms:modified xsi:type="dcterms:W3CDTF">2023-05-23T18:33:38Z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0x01010033C95AF8DB4A494486A2308AE1E40BD6</vt:lpwstr>
  </property>
  <property fmtid="{D5CDD505-2E9C-101B-9397-08002B2CF9AE}" pid="3" name="_dlc_DocIdItemGuid">
    <vt:lpwstr>0565924e-cb31-4c48-9fae-987743aa2260</vt:lpwstr>
  </property>
</Properties>
</file>